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yclist Economics" sheetId="3" state="visible" r:id="rId5"/>
    <sheet name="Zone P&amp;L" sheetId="4" state="visible" r:id="rId6"/>
    <sheet name="Sensitivity" sheetId="5" state="visible" r:id="rId7"/>
    <sheet name="Competitor Chec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<sst xmlns="http://schemas.openxmlformats.org/spreadsheetml/2006/main" count="283" uniqueCount="233">
  <si>
    <t xml:space="preserve">Airand — Unit Economics &amp; Break-even Model</t>
  </si>
  <si>
    <t xml:space="preserve">Phase 2 — Problem &amp; Market Validation · Draft v0.1 · 5 October 2026</t>
  </si>
  <si>
    <t xml:space="preserve">Purpose</t>
  </si>
  <si>
    <t xml:space="preserve">Tests whether a zone-based bicycle delivery pool can deliver at a fixed ₦700–₦1,000 rate and cover its costs. Every number is an assumption unless a source is named on the Assumptions sheet.</t>
  </si>
  <si>
    <t xml:space="preserve">How to use</t>
  </si>
  <si>
    <t xml:space="preserve">Change blue cells on the Assumptions sheet only. All other sheets recalculate. Yellow cells are the three levers that decide viability: zone rate, cyclist wage, deliveries per cyclist per shift.</t>
  </si>
  <si>
    <t xml:space="preserve">Colour legend</t>
  </si>
  <si>
    <t xml:space="preserve">Blue text = input you can change · Black = formula · Green = link to another sheet · Yellow fill = key lever.</t>
  </si>
  <si>
    <t xml:space="preserve">Evidence labels</t>
  </si>
  <si>
    <t xml:space="preserve">[Source] cited external page · [Assumption] founder or analyst estimate · [Placeholder] number unknown, set to a plausible value for the model to run.</t>
  </si>
  <si>
    <t xml:space="preserve">Sheets</t>
  </si>
  <si>
    <t xml:space="preserve">Assumptions → Cyclist Economics → Zone P&amp;L → Sensitivity → Competitor Check</t>
  </si>
  <si>
    <t xml:space="preserve">Caveat</t>
  </si>
  <si>
    <t xml:space="preserve">This is a portfolio demonstration model built on public benchmarks and labelled estimates. It is not a forecast of an operating business.</t>
  </si>
  <si>
    <t xml:space="preserve">Assumptions</t>
  </si>
  <si>
    <t xml:space="preserve">Change blue cells only. Yellow = key lever.</t>
  </si>
  <si>
    <t xml:space="preserve">Ref</t>
  </si>
  <si>
    <t xml:space="preserve">Assumption</t>
  </si>
  <si>
    <t xml:space="preserve">Value</t>
  </si>
  <si>
    <t xml:space="preserve">Unit</t>
  </si>
  <si>
    <t xml:space="preserve">Label</t>
  </si>
  <si>
    <t xml:space="preserve">Basis / source</t>
  </si>
  <si>
    <t xml:space="preserve">PRICING</t>
  </si>
  <si>
    <t xml:space="preserve">P1</t>
  </si>
  <si>
    <t xml:space="preserve">Fixed zone rate per delivery</t>
  </si>
  <si>
    <t xml:space="preserve">₦</t>
  </si>
  <si>
    <t xml:space="preserve">[Assumption]</t>
  </si>
  <si>
    <t xml:space="preserve">Target band ₦700–₦1,000 from Market Research price comparison (undercut Bolt Send off-peak est. ₦800–₦1,500)</t>
  </si>
  <si>
    <t xml:space="preserve">P2</t>
  </si>
  <si>
    <t xml:space="preserve">Share of deliveries that fail or are written off</t>
  </si>
  <si>
    <t xml:space="preserve">%</t>
  </si>
  <si>
    <t xml:space="preserve">Analyst estimate; no revenue on failed deliveries</t>
  </si>
  <si>
    <t xml:space="preserve">P3</t>
  </si>
  <si>
    <t xml:space="preserve">Messaging cost per delivery (WhatsApp/SMS code + tracking link)</t>
  </si>
  <si>
    <t xml:space="preserve">Approximate Nigerian SMS/WhatsApp Business per-message cost</t>
  </si>
  <si>
    <t xml:space="preserve">CYCLISTS</t>
  </si>
  <si>
    <t xml:space="preserve">C1</t>
  </si>
  <si>
    <t xml:space="preserve">Number of cyclists in the zone</t>
  </si>
  <si>
    <t xml:space="preserve">cyclists</t>
  </si>
  <si>
    <t xml:space="preserve">[Source]</t>
  </si>
  <si>
    <t xml:space="preserve">Airand business plan (2025): 10 cyclists at launch</t>
  </si>
  <si>
    <t xml:space="preserve">C2</t>
  </si>
  <si>
    <t xml:space="preserve">Cyclist wage per month</t>
  </si>
  <si>
    <t xml:space="preserve">Below motorbike dispatch benchmark of ₦90,000/month (Jobberman, Port Harcourt, 2026) — no fuel or licence</t>
  </si>
  <si>
    <t xml:space="preserve">C3</t>
  </si>
  <si>
    <t xml:space="preserve">Working days per cyclist per month</t>
  </si>
  <si>
    <t xml:space="preserve">days</t>
  </si>
  <si>
    <t xml:space="preserve">Six-day week</t>
  </si>
  <si>
    <t xml:space="preserve">C4</t>
  </si>
  <si>
    <t xml:space="preserve">Shift length</t>
  </si>
  <si>
    <t xml:space="preserve">hours</t>
  </si>
  <si>
    <t xml:space="preserve">Covers afternoon to 11 PM peak</t>
  </si>
  <si>
    <t xml:space="preserve">C5</t>
  </si>
  <si>
    <t xml:space="preserve">Bicycle purchase cost</t>
  </si>
  <si>
    <t xml:space="preserve">Mid-range utility bicycle, Nigerian retail estimate</t>
  </si>
  <si>
    <t xml:space="preserve">C6</t>
  </si>
  <si>
    <t xml:space="preserve">Bicycle useful life</t>
  </si>
  <si>
    <t xml:space="preserve">months</t>
  </si>
  <si>
    <t xml:space="preserve">Straight-line depreciation</t>
  </si>
  <si>
    <t xml:space="preserve">C7</t>
  </si>
  <si>
    <t xml:space="preserve">Bicycle maintenance per month</t>
  </si>
  <si>
    <t xml:space="preserve">Tyres, chain, brakes</t>
  </si>
  <si>
    <t xml:space="preserve">C8</t>
  </si>
  <si>
    <t xml:space="preserve">Insulated bag + uniform + lights per cyclist</t>
  </si>
  <si>
    <t xml:space="preserve">Replaced every 12 months</t>
  </si>
  <si>
    <t xml:space="preserve">C9</t>
  </si>
  <si>
    <t xml:space="preserve">Kit replacement cycle</t>
  </si>
  <si>
    <t xml:space="preserve">C10</t>
  </si>
  <si>
    <t xml:space="preserve">Phone data allowance per cyclist per month</t>
  </si>
  <si>
    <t xml:space="preserve">Cyclist app needs data</t>
  </si>
  <si>
    <t xml:space="preserve">OPERATIONS</t>
  </si>
  <si>
    <t xml:space="preserve">O1</t>
  </si>
  <si>
    <t xml:space="preserve">Average one-way trip distance (hub → vendor → receiver)</t>
  </si>
  <si>
    <t xml:space="preserve">km</t>
  </si>
  <si>
    <t xml:space="preserve">Zone radius 2–3 km from Business Understanding Document</t>
  </si>
  <si>
    <t xml:space="preserve">O2</t>
  </si>
  <si>
    <t xml:space="preserve">Average cycling speed in traffic</t>
  </si>
  <si>
    <t xml:space="preserve">km/h</t>
  </si>
  <si>
    <t xml:space="preserve">Urban bicycle average</t>
  </si>
  <si>
    <t xml:space="preserve">O3</t>
  </si>
  <si>
    <t xml:space="preserve">Return distance to hub or next pickup</t>
  </si>
  <si>
    <t xml:space="preserve">Shorter than outbound: next pickup is often nearer than the hub</t>
  </si>
  <si>
    <t xml:space="preserve">O4</t>
  </si>
  <si>
    <t xml:space="preserve">Handover time (pickup + drop-off + code entry)</t>
  </si>
  <si>
    <t xml:space="preserve">min</t>
  </si>
  <si>
    <t xml:space="preserve">O5</t>
  </si>
  <si>
    <t xml:space="preserve">Utilisation (share of shift spent on deliveries)</t>
  </si>
  <si>
    <t xml:space="preserve">Demand is peaky; cyclists idle off-peak. Key lever.</t>
  </si>
  <si>
    <t xml:space="preserve">FIXED COSTS</t>
  </si>
  <si>
    <t xml:space="preserve">F1</t>
  </si>
  <si>
    <t xml:space="preserve">Operations officer salary per month</t>
  </si>
  <si>
    <t xml:space="preserve">One dispatcher per zone</t>
  </si>
  <si>
    <t xml:space="preserve">F2</t>
  </si>
  <si>
    <t xml:space="preserve">Hub point rent per month</t>
  </si>
  <si>
    <t xml:space="preserve">Small shared space or arrangement with anchor vendor</t>
  </si>
  <si>
    <t xml:space="preserve">F3</t>
  </si>
  <si>
    <t xml:space="preserve">Platform hosting &amp; software per month</t>
  </si>
  <si>
    <t xml:space="preserve">Cloud hosting, maps API, messaging gateway subscription</t>
  </si>
  <si>
    <t xml:space="preserve">F4</t>
  </si>
  <si>
    <t xml:space="preserve">Marketing per month</t>
  </si>
  <si>
    <t xml:space="preserve">Airand plan: flyers ₦10,000 per 500; doubled for ongoing push</t>
  </si>
  <si>
    <t xml:space="preserve">F5</t>
  </si>
  <si>
    <t xml:space="preserve">NIPOST CLRD Regional licence per year</t>
  </si>
  <si>
    <t xml:space="preserve">[Placeholder]</t>
  </si>
  <si>
    <t xml:space="preserve">Fee not published on clrd.nipost.gov.ng; Regional (South-East) category required because Airand delivers for third parties</t>
  </si>
  <si>
    <t xml:space="preserve">F6</t>
  </si>
  <si>
    <t xml:space="preserve">CAC incorporation (one-off, amortised over 12 months)</t>
  </si>
  <si>
    <t xml:space="preserve">Pre-condition for CLRD licence</t>
  </si>
  <si>
    <t xml:space="preserve">F7</t>
  </si>
  <si>
    <t xml:space="preserve">Insurance, contingency per month</t>
  </si>
  <si>
    <t xml:space="preserve">Cyclist accident cover, theft</t>
  </si>
  <si>
    <t xml:space="preserve">DEMAND SCENARIOS</t>
  </si>
  <si>
    <t xml:space="preserve">D1</t>
  </si>
  <si>
    <t xml:space="preserve">Vendors in zone — Low</t>
  </si>
  <si>
    <t xml:space="preserve">vendors</t>
  </si>
  <si>
    <t xml:space="preserve">Lower end of 6–10 cluster</t>
  </si>
  <si>
    <t xml:space="preserve">D2</t>
  </si>
  <si>
    <t xml:space="preserve">Vendors in zone — Base</t>
  </si>
  <si>
    <t xml:space="preserve">D3</t>
  </si>
  <si>
    <t xml:space="preserve">Vendors in zone — High</t>
  </si>
  <si>
    <t xml:space="preserve">Airand plan: 10 partners by month 3</t>
  </si>
  <si>
    <t xml:space="preserve">D4</t>
  </si>
  <si>
    <t xml:space="preserve">Deliveries per vendor per day — Low</t>
  </si>
  <si>
    <t xml:space="preserve">deliveries</t>
  </si>
  <si>
    <t xml:space="preserve">Small buka, mostly walk-in</t>
  </si>
  <si>
    <t xml:space="preserve">D5</t>
  </si>
  <si>
    <t xml:space="preserve">Deliveries per vendor per day — Base</t>
  </si>
  <si>
    <t xml:space="preserve">D6</t>
  </si>
  <si>
    <t xml:space="preserve">Deliveries per vendor per day — High</t>
  </si>
  <si>
    <t xml:space="preserve">Busy nightlife vendor</t>
  </si>
  <si>
    <t xml:space="preserve">D7</t>
  </si>
  <si>
    <t xml:space="preserve">Days vendors operate per month</t>
  </si>
  <si>
    <t xml:space="preserve">Cyclist Economics — cost per cyclist per day and deliveries per shift</t>
  </si>
  <si>
    <t xml:space="preserve">All cells are formulas linked to Assumptions (green).</t>
  </si>
  <si>
    <t xml:space="preserve">Cost per cyclist per month</t>
  </si>
  <si>
    <t xml:space="preserve">Wage</t>
  </si>
  <si>
    <t xml:space="preserve">Bicycle depreciation</t>
  </si>
  <si>
    <t xml:space="preserve">Bicycle maintenance</t>
  </si>
  <si>
    <t xml:space="preserve">Kit (bag, uniform, lights)</t>
  </si>
  <si>
    <t xml:space="preserve">Phone data</t>
  </si>
  <si>
    <t xml:space="preserve">Total cost per cyclist per month</t>
  </si>
  <si>
    <t xml:space="preserve">Total cost per cyclist per working day</t>
  </si>
  <si>
    <t xml:space="preserve">Capacity per cyclist per shift</t>
  </si>
  <si>
    <t xml:space="preserve">Cycle time per delivery (minutes)</t>
  </si>
  <si>
    <t xml:space="preserve">Theoretical deliveries per shift (100% busy)</t>
  </si>
  <si>
    <t xml:space="preserve">Expected deliveries per shift at assumed utilisation</t>
  </si>
  <si>
    <t xml:space="preserve">Unit cost</t>
  </si>
  <si>
    <t xml:space="preserve">Cyclist cost per delivery at expected utilisation</t>
  </si>
  <si>
    <t xml:space="preserve">Messaging cost per delivery</t>
  </si>
  <si>
    <t xml:space="preserve">Direct cost per delivery (cyclist + messaging)</t>
  </si>
  <si>
    <t xml:space="preserve">Zone rate</t>
  </si>
  <si>
    <t xml:space="preserve">Contribution per delivery before fixed costs</t>
  </si>
  <si>
    <t xml:space="preserve">Contribution margin</t>
  </si>
  <si>
    <t xml:space="preserve">Break-even on cyclist cost alone</t>
  </si>
  <si>
    <t xml:space="preserve">Deliveries per cyclist per day needed to cover that cyclist</t>
  </si>
  <si>
    <t xml:space="preserve">Utilisation that implies</t>
  </si>
  <si>
    <t xml:space="preserve">Zone P&amp;L — monthly, three demand scenarios</t>
  </si>
  <si>
    <t xml:space="preserve">Low / Base / High combine the vendor count and deliveries-per-vendor scenarios on Assumptions.</t>
  </si>
  <si>
    <t xml:space="preserve">Line (₦ per month unless stated)</t>
  </si>
  <si>
    <t xml:space="preserve">Low</t>
  </si>
  <si>
    <t xml:space="preserve">Base</t>
  </si>
  <si>
    <t xml:space="preserve">High</t>
  </si>
  <si>
    <t xml:space="preserve">Demand</t>
  </si>
  <si>
    <t xml:space="preserve">Vendors in zone</t>
  </si>
  <si>
    <t xml:space="preserve">Deliveries per vendor per day</t>
  </si>
  <si>
    <t xml:space="preserve">Deliveries per day (zone)</t>
  </si>
  <si>
    <t xml:space="preserve">Deliveries per month</t>
  </si>
  <si>
    <t xml:space="preserve">Deliveries per cyclist per day</t>
  </si>
  <si>
    <t xml:space="preserve">Capacity check: utilisation required</t>
  </si>
  <si>
    <t xml:space="preserve">Revenue</t>
  </si>
  <si>
    <t xml:space="preserve">Completed deliveries</t>
  </si>
  <si>
    <t xml:space="preserve">Delivery revenue</t>
  </si>
  <si>
    <t xml:space="preserve">Variable costs</t>
  </si>
  <si>
    <t xml:space="preserve">Messaging</t>
  </si>
  <si>
    <t xml:space="preserve">Cyclist costs</t>
  </si>
  <si>
    <t xml:space="preserve">Cyclist pool (all cyclists, fixed per month)</t>
  </si>
  <si>
    <t xml:space="preserve">Fixed costs</t>
  </si>
  <si>
    <t xml:space="preserve">Operations officer</t>
  </si>
  <si>
    <t xml:space="preserve">Hub rent</t>
  </si>
  <si>
    <t xml:space="preserve">Platform &amp; software</t>
  </si>
  <si>
    <t xml:space="preserve">Marketing</t>
  </si>
  <si>
    <t xml:space="preserve">CLRD licence (annual ÷ 12)</t>
  </si>
  <si>
    <t xml:space="preserve">CAC incorporation (amortised)</t>
  </si>
  <si>
    <t xml:space="preserve">Insurance &amp; contingency</t>
  </si>
  <si>
    <t xml:space="preserve">Total fixed costs</t>
  </si>
  <si>
    <t xml:space="preserve">Result</t>
  </si>
  <si>
    <t xml:space="preserve">Total costs</t>
  </si>
  <si>
    <t xml:space="preserve">Operating profit / (loss)</t>
  </si>
  <si>
    <t xml:space="preserve">Operating margin</t>
  </si>
  <si>
    <t xml:space="preserve">All-in cost per delivery</t>
  </si>
  <si>
    <t xml:space="preserve">Break-even</t>
  </si>
  <si>
    <t xml:space="preserve">Monthly cost base excluding messaging</t>
  </si>
  <si>
    <t xml:space="preserve">Net revenue per delivery (rate × completion − messaging)</t>
  </si>
  <si>
    <t xml:space="preserve">Break-even deliveries per month</t>
  </si>
  <si>
    <t xml:space="preserve">Break-even deliveries per day (zone)</t>
  </si>
  <si>
    <t xml:space="preserve">Break-even deliveries per cyclist per day</t>
  </si>
  <si>
    <t xml:space="preserve">Headroom: scenario deliveries/day vs break-even</t>
  </si>
  <si>
    <t xml:space="preserve">Sensitivity — operating profit per month (₦) by zone rate and deliveries per cyclist per day</t>
  </si>
  <si>
    <t xml:space="preserve">Each cell recomputes the full monthly P&amp;L for that rate and volume; cyclist count and fixed costs from Assumptions. Negative = loss.</t>
  </si>
  <si>
    <t xml:space="preserve">Deliveries / cyclist / day ↓   Zone rate →</t>
  </si>
  <si>
    <t xml:space="preserve">Reading: find the row for the deliveries per cyclist per day the zone can realistically generate, then the lowest rate that is still positive. Capacity ceiling at 100% utilisation is on Cyclist Economics B15.</t>
  </si>
  <si>
    <t xml:space="preserve">Second table — break-even deliveries per cyclist per day by zone rate and cyclist wage</t>
  </si>
  <si>
    <t xml:space="preserve">Cyclist wage / month ↓   Zone rate →</t>
  </si>
  <si>
    <t xml:space="preserve">Competitor Check — what a ₦3,000 meal over 2.5 km costs through each option</t>
  </si>
  <si>
    <t xml:space="preserve">Estimates from the Market &amp; Competitor Research doc. Blue = input estimate; no Owerri operator publishes a tariff.</t>
  </si>
  <si>
    <t xml:space="preserve">Option</t>
  </si>
  <si>
    <t xml:space="preserve">Delivery fee off-peak (₦)</t>
  </si>
  <si>
    <t xml:space="preserve">Delivery fee peak (₦)</t>
  </si>
  <si>
    <t xml:space="preserve">Commission on food</t>
  </si>
  <si>
    <t xml:space="preserve">Commission (₦) on ₦3,000</t>
  </si>
  <si>
    <t xml:space="preserve">Total cost off-peak (₦)</t>
  </si>
  <si>
    <t xml:space="preserve">Total cost peak (₦)</t>
  </si>
  <si>
    <t xml:space="preserve">Confidence / source</t>
  </si>
  <si>
    <t xml:space="preserve">Meal value (₦)</t>
  </si>
  <si>
    <t xml:space="preserve">Informal rider</t>
  </si>
  <si>
    <t xml:space="preserve">Low — inferred from original plan's ₦500–₦1,000 savings claim</t>
  </si>
  <si>
    <t xml:space="preserve">Bolt Send</t>
  </si>
  <si>
    <t xml:space="preserve">Low–medium — scaled from Bolt ride tariffs (Lagos 2023, Abuja 2024); Send tariff not public</t>
  </si>
  <si>
    <t xml:space="preserve">Chowdeck</t>
  </si>
  <si>
    <t xml:space="preserve">Medium on commission (20–30% reported, Feb 2026 lawsuit); low on fee</t>
  </si>
  <si>
    <t xml:space="preserve">GoBuyMe</t>
  </si>
  <si>
    <t xml:space="preserve">Low — commission 'from 3%' on marketing site; fee unknown</t>
  </si>
  <si>
    <t xml:space="preserve">Karryo</t>
  </si>
  <si>
    <t xml:space="preserve">None — pre-launch; placeholder</t>
  </si>
  <si>
    <t xml:space="preserve">Airand (target)</t>
  </si>
  <si>
    <t xml:space="preserve">Target from Assumptions P1; same price at peak</t>
  </si>
  <si>
    <t xml:space="preserve">Airand saving vs each option at peak (₦)</t>
  </si>
  <si>
    <t xml:space="preserve">% saving</t>
  </si>
  <si>
    <t xml:space="preserve">vs Informal rider</t>
  </si>
  <si>
    <t xml:space="preserve">vs Bolt Send</t>
  </si>
  <si>
    <t xml:space="preserve">vs Chowdeck</t>
  </si>
  <si>
    <t xml:space="preserve">vs GoBuyMe</t>
  </si>
  <si>
    <t xml:space="preserve">vs Karryo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</si>
</sst>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₦#,##0;&quot;(₦&quot;#,##0\);\-"/>
    <numFmt numFmtId="166" formatCode="0.0%;\(0.0%\);\-"/>
    <numFmt numFmtId="167" formatCode="#,##0;\(#,##0\);\-"/>
    <numFmt numFmtId="168" formatCode="#,##0.0;\(#,##0.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8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</row>
    <row r="5" customFormat="false" ht="15" hidden="false" customHeight="false" outlineLevel="0" collapsed="false">
      <c r="A5" s="6" t="s">
        <v>22</v>
      </c>
    </row>
    <row r="6" customFormat="false" ht="23.85" hidden="false" customHeight="false" outlineLevel="0" collapsed="false">
      <c r="A6" s="7" t="s">
        <v>23</v>
      </c>
      <c r="B6" s="7" t="s">
        <v>24</v>
      </c>
      <c r="C6" s="8" t="n">
        <v>900</v>
      </c>
      <c r="D6" s="7" t="s">
        <v>25</v>
      </c>
      <c r="E6" s="7" t="s">
        <v>26</v>
      </c>
      <c r="F6" s="9" t="s">
        <v>27</v>
      </c>
    </row>
    <row r="7" customFormat="false" ht="15" hidden="false" customHeight="false" outlineLevel="0" collapsed="false">
      <c r="A7" s="7" t="s">
        <v>28</v>
      </c>
      <c r="B7" s="7" t="s">
        <v>29</v>
      </c>
      <c r="C7" s="10" t="n">
        <v>0.01</v>
      </c>
      <c r="D7" s="7" t="s">
        <v>30</v>
      </c>
      <c r="E7" s="7" t="s">
        <v>26</v>
      </c>
      <c r="F7" s="9" t="s">
        <v>31</v>
      </c>
    </row>
    <row r="8" customFormat="false" ht="15" hidden="false" customHeight="false" outlineLevel="0" collapsed="false">
      <c r="A8" s="7" t="s">
        <v>32</v>
      </c>
      <c r="B8" s="7" t="s">
        <v>33</v>
      </c>
      <c r="C8" s="11" t="n">
        <v>10</v>
      </c>
      <c r="D8" s="7" t="s">
        <v>25</v>
      </c>
      <c r="E8" s="7" t="s">
        <v>26</v>
      </c>
      <c r="F8" s="9" t="s">
        <v>34</v>
      </c>
    </row>
    <row r="9" customFormat="false" ht="15" hidden="false" customHeight="false" outlineLevel="0" collapsed="false">
      <c r="A9" s="6" t="s">
        <v>35</v>
      </c>
    </row>
    <row r="10" customFormat="false" ht="15" hidden="false" customHeight="false" outlineLevel="0" collapsed="false">
      <c r="A10" s="7" t="s">
        <v>36</v>
      </c>
      <c r="B10" s="7" t="s">
        <v>37</v>
      </c>
      <c r="C10" s="12" t="n">
        <v>10</v>
      </c>
      <c r="D10" s="7" t="s">
        <v>38</v>
      </c>
      <c r="E10" s="7" t="s">
        <v>39</v>
      </c>
      <c r="F10" s="9" t="s">
        <v>40</v>
      </c>
    </row>
    <row r="11" customFormat="false" ht="23.85" hidden="false" customHeight="false" outlineLevel="0" collapsed="false">
      <c r="A11" s="7" t="s">
        <v>41</v>
      </c>
      <c r="B11" s="7" t="s">
        <v>42</v>
      </c>
      <c r="C11" s="8" t="n">
        <v>60000</v>
      </c>
      <c r="D11" s="7" t="s">
        <v>25</v>
      </c>
      <c r="E11" s="7" t="s">
        <v>26</v>
      </c>
      <c r="F11" s="9" t="s">
        <v>43</v>
      </c>
    </row>
    <row r="12" customFormat="false" ht="15" hidden="false" customHeight="false" outlineLevel="0" collapsed="false">
      <c r="A12" s="7" t="s">
        <v>44</v>
      </c>
      <c r="B12" s="7" t="s">
        <v>45</v>
      </c>
      <c r="C12" s="12" t="n">
        <v>26</v>
      </c>
      <c r="D12" s="7" t="s">
        <v>46</v>
      </c>
      <c r="E12" s="7" t="s">
        <v>26</v>
      </c>
      <c r="F12" s="9" t="s">
        <v>47</v>
      </c>
    </row>
    <row r="13" customFormat="false" ht="15" hidden="false" customHeight="false" outlineLevel="0" collapsed="false">
      <c r="A13" s="7" t="s">
        <v>48</v>
      </c>
      <c r="B13" s="7" t="s">
        <v>49</v>
      </c>
      <c r="C13" s="12" t="n">
        <v>8</v>
      </c>
      <c r="D13" s="7" t="s">
        <v>50</v>
      </c>
      <c r="E13" s="7" t="s">
        <v>26</v>
      </c>
      <c r="F13" s="9" t="s">
        <v>51</v>
      </c>
    </row>
    <row r="14" customFormat="false" ht="15" hidden="false" customHeight="false" outlineLevel="0" collapsed="false">
      <c r="A14" s="7" t="s">
        <v>52</v>
      </c>
      <c r="B14" s="7" t="s">
        <v>53</v>
      </c>
      <c r="C14" s="11" t="n">
        <v>120000</v>
      </c>
      <c r="D14" s="7" t="s">
        <v>25</v>
      </c>
      <c r="E14" s="7" t="s">
        <v>26</v>
      </c>
      <c r="F14" s="9" t="s">
        <v>54</v>
      </c>
    </row>
    <row r="15" customFormat="false" ht="15" hidden="false" customHeight="false" outlineLevel="0" collapsed="false">
      <c r="A15" s="7" t="s">
        <v>55</v>
      </c>
      <c r="B15" s="7" t="s">
        <v>56</v>
      </c>
      <c r="C15" s="12" t="n">
        <v>24</v>
      </c>
      <c r="D15" s="7" t="s">
        <v>57</v>
      </c>
      <c r="E15" s="7" t="s">
        <v>26</v>
      </c>
      <c r="F15" s="9" t="s">
        <v>58</v>
      </c>
    </row>
    <row r="16" customFormat="false" ht="15" hidden="false" customHeight="false" outlineLevel="0" collapsed="false">
      <c r="A16" s="7" t="s">
        <v>59</v>
      </c>
      <c r="B16" s="7" t="s">
        <v>60</v>
      </c>
      <c r="C16" s="11" t="n">
        <v>3000</v>
      </c>
      <c r="D16" s="7" t="s">
        <v>25</v>
      </c>
      <c r="E16" s="7" t="s">
        <v>26</v>
      </c>
      <c r="F16" s="9" t="s">
        <v>61</v>
      </c>
    </row>
    <row r="17" customFormat="false" ht="15" hidden="false" customHeight="false" outlineLevel="0" collapsed="false">
      <c r="A17" s="7" t="s">
        <v>62</v>
      </c>
      <c r="B17" s="7" t="s">
        <v>63</v>
      </c>
      <c r="C17" s="11" t="n">
        <v>30000</v>
      </c>
      <c r="D17" s="7" t="s">
        <v>25</v>
      </c>
      <c r="E17" s="7" t="s">
        <v>26</v>
      </c>
      <c r="F17" s="9" t="s">
        <v>64</v>
      </c>
    </row>
    <row r="18" customFormat="false" ht="15" hidden="false" customHeight="false" outlineLevel="0" collapsed="false">
      <c r="A18" s="7" t="s">
        <v>65</v>
      </c>
      <c r="B18" s="7" t="s">
        <v>66</v>
      </c>
      <c r="C18" s="12" t="n">
        <v>12</v>
      </c>
      <c r="D18" s="7" t="s">
        <v>57</v>
      </c>
      <c r="E18" s="7" t="s">
        <v>26</v>
      </c>
      <c r="F18" s="9"/>
    </row>
    <row r="19" customFormat="false" ht="15" hidden="false" customHeight="false" outlineLevel="0" collapsed="false">
      <c r="A19" s="7" t="s">
        <v>67</v>
      </c>
      <c r="B19" s="7" t="s">
        <v>68</v>
      </c>
      <c r="C19" s="11" t="n">
        <v>5000</v>
      </c>
      <c r="D19" s="7" t="s">
        <v>25</v>
      </c>
      <c r="E19" s="7" t="s">
        <v>26</v>
      </c>
      <c r="F19" s="9" t="s">
        <v>69</v>
      </c>
    </row>
    <row r="20" customFormat="false" ht="15" hidden="false" customHeight="false" outlineLevel="0" collapsed="false">
      <c r="A20" s="6" t="s">
        <v>70</v>
      </c>
    </row>
    <row r="21" customFormat="false" ht="15" hidden="false" customHeight="false" outlineLevel="0" collapsed="false">
      <c r="A21" s="7" t="s">
        <v>71</v>
      </c>
      <c r="B21" s="7" t="s">
        <v>72</v>
      </c>
      <c r="C21" s="13" t="n">
        <v>2.5</v>
      </c>
      <c r="D21" s="7" t="s">
        <v>73</v>
      </c>
      <c r="E21" s="7" t="s">
        <v>26</v>
      </c>
      <c r="F21" s="9" t="s">
        <v>74</v>
      </c>
    </row>
    <row r="22" customFormat="false" ht="15" hidden="false" customHeight="false" outlineLevel="0" collapsed="false">
      <c r="A22" s="7" t="s">
        <v>75</v>
      </c>
      <c r="B22" s="7" t="s">
        <v>76</v>
      </c>
      <c r="C22" s="12" t="n">
        <v>12</v>
      </c>
      <c r="D22" s="7" t="s">
        <v>77</v>
      </c>
      <c r="E22" s="7" t="s">
        <v>26</v>
      </c>
      <c r="F22" s="9" t="s">
        <v>78</v>
      </c>
    </row>
    <row r="23" customFormat="false" ht="15" hidden="false" customHeight="false" outlineLevel="0" collapsed="false">
      <c r="A23" s="7" t="s">
        <v>79</v>
      </c>
      <c r="B23" s="7" t="s">
        <v>80</v>
      </c>
      <c r="C23" s="13" t="n">
        <v>2</v>
      </c>
      <c r="D23" s="7" t="s">
        <v>73</v>
      </c>
      <c r="E23" s="7" t="s">
        <v>26</v>
      </c>
      <c r="F23" s="9" t="s">
        <v>81</v>
      </c>
    </row>
    <row r="24" customFormat="false" ht="15" hidden="false" customHeight="false" outlineLevel="0" collapsed="false">
      <c r="A24" s="7" t="s">
        <v>82</v>
      </c>
      <c r="B24" s="7" t="s">
        <v>83</v>
      </c>
      <c r="C24" s="12" t="n">
        <v>8</v>
      </c>
      <c r="D24" s="7" t="s">
        <v>84</v>
      </c>
      <c r="E24" s="7" t="s">
        <v>26</v>
      </c>
      <c r="F24" s="9"/>
    </row>
    <row r="25" customFormat="false" ht="15" hidden="false" customHeight="false" outlineLevel="0" collapsed="false">
      <c r="A25" s="7" t="s">
        <v>85</v>
      </c>
      <c r="B25" s="7" t="s">
        <v>86</v>
      </c>
      <c r="C25" s="14" t="n">
        <v>0.45</v>
      </c>
      <c r="D25" s="7" t="s">
        <v>30</v>
      </c>
      <c r="E25" s="7" t="s">
        <v>26</v>
      </c>
      <c r="F25" s="9" t="s">
        <v>87</v>
      </c>
    </row>
    <row r="26" customFormat="false" ht="15" hidden="false" customHeight="false" outlineLevel="0" collapsed="false">
      <c r="A26" s="6" t="s">
        <v>88</v>
      </c>
    </row>
    <row r="27" customFormat="false" ht="15" hidden="false" customHeight="false" outlineLevel="0" collapsed="false">
      <c r="A27" s="7" t="s">
        <v>89</v>
      </c>
      <c r="B27" s="7" t="s">
        <v>90</v>
      </c>
      <c r="C27" s="11" t="n">
        <v>120000</v>
      </c>
      <c r="D27" s="7" t="s">
        <v>25</v>
      </c>
      <c r="E27" s="7" t="s">
        <v>26</v>
      </c>
      <c r="F27" s="9" t="s">
        <v>91</v>
      </c>
    </row>
    <row r="28" customFormat="false" ht="15" hidden="false" customHeight="false" outlineLevel="0" collapsed="false">
      <c r="A28" s="7" t="s">
        <v>92</v>
      </c>
      <c r="B28" s="7" t="s">
        <v>93</v>
      </c>
      <c r="C28" s="11" t="n">
        <v>40000</v>
      </c>
      <c r="D28" s="7" t="s">
        <v>25</v>
      </c>
      <c r="E28" s="7" t="s">
        <v>26</v>
      </c>
      <c r="F28" s="9" t="s">
        <v>94</v>
      </c>
    </row>
    <row r="29" customFormat="false" ht="15" hidden="false" customHeight="false" outlineLevel="0" collapsed="false">
      <c r="A29" s="7" t="s">
        <v>95</v>
      </c>
      <c r="B29" s="7" t="s">
        <v>96</v>
      </c>
      <c r="C29" s="11" t="n">
        <v>50000</v>
      </c>
      <c r="D29" s="7" t="s">
        <v>25</v>
      </c>
      <c r="E29" s="7" t="s">
        <v>26</v>
      </c>
      <c r="F29" s="9" t="s">
        <v>97</v>
      </c>
    </row>
    <row r="30" customFormat="false" ht="15" hidden="false" customHeight="false" outlineLevel="0" collapsed="false">
      <c r="A30" s="7" t="s">
        <v>98</v>
      </c>
      <c r="B30" s="7" t="s">
        <v>99</v>
      </c>
      <c r="C30" s="11" t="n">
        <v>20000</v>
      </c>
      <c r="D30" s="7" t="s">
        <v>25</v>
      </c>
      <c r="E30" s="7" t="s">
        <v>39</v>
      </c>
      <c r="F30" s="9" t="s">
        <v>100</v>
      </c>
    </row>
    <row r="31" customFormat="false" ht="23.85" hidden="false" customHeight="false" outlineLevel="0" collapsed="false">
      <c r="A31" s="7" t="s">
        <v>101</v>
      </c>
      <c r="B31" s="7" t="s">
        <v>102</v>
      </c>
      <c r="C31" s="11" t="n">
        <v>500000</v>
      </c>
      <c r="D31" s="7" t="s">
        <v>25</v>
      </c>
      <c r="E31" s="7" t="s">
        <v>103</v>
      </c>
      <c r="F31" s="9" t="s">
        <v>104</v>
      </c>
    </row>
    <row r="32" customFormat="false" ht="15" hidden="false" customHeight="false" outlineLevel="0" collapsed="false">
      <c r="A32" s="7" t="s">
        <v>105</v>
      </c>
      <c r="B32" s="7" t="s">
        <v>106</v>
      </c>
      <c r="C32" s="11" t="n">
        <v>60000</v>
      </c>
      <c r="D32" s="7" t="s">
        <v>25</v>
      </c>
      <c r="E32" s="7" t="s">
        <v>103</v>
      </c>
      <c r="F32" s="9" t="s">
        <v>107</v>
      </c>
    </row>
    <row r="33" customFormat="false" ht="15" hidden="false" customHeight="false" outlineLevel="0" collapsed="false">
      <c r="A33" s="7" t="s">
        <v>108</v>
      </c>
      <c r="B33" s="7" t="s">
        <v>109</v>
      </c>
      <c r="C33" s="11" t="n">
        <v>25000</v>
      </c>
      <c r="D33" s="7" t="s">
        <v>25</v>
      </c>
      <c r="E33" s="7" t="s">
        <v>26</v>
      </c>
      <c r="F33" s="9" t="s">
        <v>110</v>
      </c>
    </row>
    <row r="34" customFormat="false" ht="15" hidden="false" customHeight="false" outlineLevel="0" collapsed="false">
      <c r="A34" s="6" t="s">
        <v>111</v>
      </c>
    </row>
    <row r="35" customFormat="false" ht="15" hidden="false" customHeight="false" outlineLevel="0" collapsed="false">
      <c r="A35" s="7" t="s">
        <v>112</v>
      </c>
      <c r="B35" s="7" t="s">
        <v>113</v>
      </c>
      <c r="C35" s="12" t="n">
        <v>6</v>
      </c>
      <c r="D35" s="7" t="s">
        <v>114</v>
      </c>
      <c r="E35" s="7" t="s">
        <v>26</v>
      </c>
      <c r="F35" s="9" t="s">
        <v>115</v>
      </c>
    </row>
    <row r="36" customFormat="false" ht="15" hidden="false" customHeight="false" outlineLevel="0" collapsed="false">
      <c r="A36" s="7" t="s">
        <v>116</v>
      </c>
      <c r="B36" s="7" t="s">
        <v>117</v>
      </c>
      <c r="C36" s="12" t="n">
        <v>8</v>
      </c>
      <c r="D36" s="7" t="s">
        <v>114</v>
      </c>
      <c r="E36" s="7" t="s">
        <v>26</v>
      </c>
      <c r="F36" s="9"/>
    </row>
    <row r="37" customFormat="false" ht="15" hidden="false" customHeight="false" outlineLevel="0" collapsed="false">
      <c r="A37" s="7" t="s">
        <v>118</v>
      </c>
      <c r="B37" s="7" t="s">
        <v>119</v>
      </c>
      <c r="C37" s="12" t="n">
        <v>10</v>
      </c>
      <c r="D37" s="7" t="s">
        <v>114</v>
      </c>
      <c r="E37" s="7" t="s">
        <v>39</v>
      </c>
      <c r="F37" s="9" t="s">
        <v>120</v>
      </c>
    </row>
    <row r="38" customFormat="false" ht="15" hidden="false" customHeight="false" outlineLevel="0" collapsed="false">
      <c r="A38" s="7" t="s">
        <v>121</v>
      </c>
      <c r="B38" s="7" t="s">
        <v>122</v>
      </c>
      <c r="C38" s="12" t="n">
        <v>5</v>
      </c>
      <c r="D38" s="7" t="s">
        <v>123</v>
      </c>
      <c r="E38" s="7" t="s">
        <v>26</v>
      </c>
      <c r="F38" s="9" t="s">
        <v>124</v>
      </c>
    </row>
    <row r="39" customFormat="false" ht="15" hidden="false" customHeight="false" outlineLevel="0" collapsed="false">
      <c r="A39" s="7" t="s">
        <v>125</v>
      </c>
      <c r="B39" s="7" t="s">
        <v>126</v>
      </c>
      <c r="C39" s="12" t="n">
        <v>8</v>
      </c>
      <c r="D39" s="7" t="s">
        <v>123</v>
      </c>
      <c r="E39" s="7" t="s">
        <v>26</v>
      </c>
      <c r="F39" s="9"/>
    </row>
    <row r="40" customFormat="false" ht="15" hidden="false" customHeight="false" outlineLevel="0" collapsed="false">
      <c r="A40" s="7" t="s">
        <v>127</v>
      </c>
      <c r="B40" s="7" t="s">
        <v>128</v>
      </c>
      <c r="C40" s="12" t="n">
        <v>12</v>
      </c>
      <c r="D40" s="7" t="s">
        <v>123</v>
      </c>
      <c r="E40" s="7" t="s">
        <v>26</v>
      </c>
      <c r="F40" s="9" t="s">
        <v>129</v>
      </c>
    </row>
    <row r="41" customFormat="false" ht="15" hidden="false" customHeight="false" outlineLevel="0" collapsed="false">
      <c r="A41" s="7" t="s">
        <v>130</v>
      </c>
      <c r="B41" s="7" t="s">
        <v>131</v>
      </c>
      <c r="C41" s="12" t="n">
        <v>26</v>
      </c>
      <c r="D41" s="7" t="s">
        <v>46</v>
      </c>
      <c r="E41" s="7" t="s">
        <v>26</v>
      </c>
      <c r="F4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6" t="s">
        <v>134</v>
      </c>
    </row>
    <row r="5" customFormat="false" ht="15" hidden="false" customHeight="false" outlineLevel="0" collapsed="false">
      <c r="A5" s="7" t="s">
        <v>135</v>
      </c>
      <c r="B5" s="15" t="n">
        <f aca="false">Assumptions!$C$11</f>
        <v>60000</v>
      </c>
    </row>
    <row r="6" customFormat="false" ht="15" hidden="false" customHeight="false" outlineLevel="0" collapsed="false">
      <c r="A6" s="7" t="s">
        <v>136</v>
      </c>
      <c r="B6" s="16" t="n">
        <f aca="false">Assumptions!$C$14/Assumptions!$C$15</f>
        <v>5000</v>
      </c>
    </row>
    <row r="7" customFormat="false" ht="15" hidden="false" customHeight="false" outlineLevel="0" collapsed="false">
      <c r="A7" s="7" t="s">
        <v>137</v>
      </c>
      <c r="B7" s="15" t="n">
        <f aca="false">Assumptions!$C$16</f>
        <v>3000</v>
      </c>
    </row>
    <row r="8" customFormat="false" ht="15" hidden="false" customHeight="false" outlineLevel="0" collapsed="false">
      <c r="A8" s="7" t="s">
        <v>138</v>
      </c>
      <c r="B8" s="16" t="n">
        <f aca="false">Assumptions!$C$17/Assumptions!$C$18</f>
        <v>2500</v>
      </c>
    </row>
    <row r="9" customFormat="false" ht="15" hidden="false" customHeight="false" outlineLevel="0" collapsed="false">
      <c r="A9" s="7" t="s">
        <v>139</v>
      </c>
      <c r="B9" s="15" t="n">
        <f aca="false">Assumptions!$C$19</f>
        <v>5000</v>
      </c>
    </row>
    <row r="10" customFormat="false" ht="15" hidden="false" customHeight="false" outlineLevel="0" collapsed="false">
      <c r="A10" s="7" t="s">
        <v>140</v>
      </c>
      <c r="B10" s="17" t="n">
        <f aca="false">SUM(B5:B9)</f>
        <v>75500</v>
      </c>
    </row>
    <row r="11" customFormat="false" ht="15" hidden="false" customHeight="false" outlineLevel="0" collapsed="false">
      <c r="A11" s="7" t="s">
        <v>141</v>
      </c>
      <c r="B11" s="17" t="n">
        <f aca="false">B10/Assumptions!$C$12</f>
        <v>2903.84615384615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6" t="s">
        <v>142</v>
      </c>
    </row>
    <row r="14" customFormat="false" ht="15" hidden="false" customHeight="false" outlineLevel="0" collapsed="false">
      <c r="A14" s="7" t="s">
        <v>143</v>
      </c>
      <c r="B14" s="18" t="n">
        <f aca="false">(Assumptions!$C$21+Assumptions!$C$23)/Assumptions!$C$22*60+Assumptions!$C$24</f>
        <v>30.5</v>
      </c>
    </row>
    <row r="15" customFormat="false" ht="15" hidden="false" customHeight="false" outlineLevel="0" collapsed="false">
      <c r="A15" s="7" t="s">
        <v>144</v>
      </c>
      <c r="B15" s="18" t="n">
        <f aca="false">Assumptions!$C$13*60/B14</f>
        <v>15.7377049180328</v>
      </c>
    </row>
    <row r="16" customFormat="false" ht="15" hidden="false" customHeight="false" outlineLevel="0" collapsed="false">
      <c r="A16" s="7" t="s">
        <v>145</v>
      </c>
      <c r="B16" s="19" t="n">
        <f aca="false">B15*Assumptions!$C$25</f>
        <v>7.08196721311475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6" t="s">
        <v>146</v>
      </c>
    </row>
    <row r="19" customFormat="false" ht="15" hidden="false" customHeight="false" outlineLevel="0" collapsed="false">
      <c r="A19" s="7" t="s">
        <v>147</v>
      </c>
      <c r="B19" s="17" t="n">
        <f aca="false">IF(B16=0,0,B11/B16)</f>
        <v>410.033831908832</v>
      </c>
    </row>
    <row r="20" customFormat="false" ht="15" hidden="false" customHeight="false" outlineLevel="0" collapsed="false">
      <c r="A20" s="7" t="s">
        <v>148</v>
      </c>
      <c r="B20" s="15" t="n">
        <f aca="false">Assumptions!$C$8</f>
        <v>10</v>
      </c>
    </row>
    <row r="21" customFormat="false" ht="15" hidden="false" customHeight="false" outlineLevel="0" collapsed="false">
      <c r="A21" s="7" t="s">
        <v>149</v>
      </c>
      <c r="B21" s="17" t="n">
        <f aca="false">B19+B20</f>
        <v>420.033831908832</v>
      </c>
    </row>
    <row r="22" customFormat="false" ht="15" hidden="false" customHeight="false" outlineLevel="0" collapsed="false">
      <c r="A22" s="7" t="s">
        <v>150</v>
      </c>
      <c r="B22" s="15" t="n">
        <f aca="false">Assumptions!$C$6</f>
        <v>900</v>
      </c>
    </row>
    <row r="23" customFormat="false" ht="15" hidden="false" customHeight="false" outlineLevel="0" collapsed="false">
      <c r="A23" s="7" t="s">
        <v>151</v>
      </c>
      <c r="B23" s="17" t="n">
        <f aca="false">B22*(1-Assumptions!$C$7)-B21</f>
        <v>470.966168091168</v>
      </c>
    </row>
    <row r="24" customFormat="false" ht="15" hidden="false" customHeight="false" outlineLevel="0" collapsed="false">
      <c r="A24" s="7" t="s">
        <v>152</v>
      </c>
      <c r="B24" s="20" t="n">
        <f aca="false">IF(B22=0,0,B23/B22)</f>
        <v>0.52329574232352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6" t="s">
        <v>153</v>
      </c>
    </row>
    <row r="27" customFormat="false" ht="15" hidden="false" customHeight="false" outlineLevel="0" collapsed="false">
      <c r="A27" s="7" t="s">
        <v>154</v>
      </c>
      <c r="B27" s="19" t="n">
        <f aca="false">IF((Assumptions!$C$6*(1-Assumptions!$C$7)-Assumptions!$C$8)&lt;=0,0,B11/(Assumptions!$C$6*(1-Assumptions!$C$7)-Assumptions!$C$8))</f>
        <v>3.29607962979132</v>
      </c>
    </row>
    <row r="28" customFormat="false" ht="15" hidden="false" customHeight="false" outlineLevel="0" collapsed="false">
      <c r="A28" s="7" t="s">
        <v>155</v>
      </c>
      <c r="B28" s="20" t="n">
        <f aca="false">IF(B15=0,0,B27/B15)</f>
        <v>0.20943839314299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15" hidden="false" customHeight="false" outlineLevel="0" collapsed="false">
      <c r="A4" s="5" t="s">
        <v>158</v>
      </c>
      <c r="B4" s="5" t="s">
        <v>159</v>
      </c>
      <c r="C4" s="5" t="s">
        <v>160</v>
      </c>
      <c r="D4" s="5" t="s">
        <v>161</v>
      </c>
    </row>
    <row r="5" customFormat="false" ht="15" hidden="false" customHeight="false" outlineLevel="0" collapsed="false">
      <c r="A5" s="6" t="s">
        <v>162</v>
      </c>
    </row>
    <row r="6" customFormat="false" ht="15" hidden="false" customHeight="false" outlineLevel="0" collapsed="false">
      <c r="A6" s="7" t="s">
        <v>163</v>
      </c>
      <c r="B6" s="21" t="n">
        <f aca="false">Assumptions!$C$35</f>
        <v>6</v>
      </c>
      <c r="C6" s="21" t="n">
        <f aca="false">Assumptions!$C$36</f>
        <v>8</v>
      </c>
      <c r="D6" s="21" t="n">
        <f aca="false">Assumptions!$C$37</f>
        <v>10</v>
      </c>
    </row>
    <row r="7" customFormat="false" ht="15" hidden="false" customHeight="false" outlineLevel="0" collapsed="false">
      <c r="A7" s="7" t="s">
        <v>164</v>
      </c>
      <c r="B7" s="21" t="n">
        <f aca="false">Assumptions!$C$38</f>
        <v>5</v>
      </c>
      <c r="C7" s="21" t="n">
        <f aca="false">Assumptions!$C$39</f>
        <v>8</v>
      </c>
      <c r="D7" s="21" t="n">
        <f aca="false">Assumptions!$C$40</f>
        <v>12</v>
      </c>
    </row>
    <row r="8" customFormat="false" ht="15" hidden="false" customHeight="false" outlineLevel="0" collapsed="false">
      <c r="A8" s="7" t="s">
        <v>165</v>
      </c>
      <c r="B8" s="18" t="n">
        <f aca="false">B6*B7</f>
        <v>30</v>
      </c>
      <c r="C8" s="18" t="n">
        <f aca="false">C6*C7</f>
        <v>64</v>
      </c>
      <c r="D8" s="18" t="n">
        <f aca="false">D6*D7</f>
        <v>120</v>
      </c>
    </row>
    <row r="9" customFormat="false" ht="15" hidden="false" customHeight="false" outlineLevel="0" collapsed="false">
      <c r="A9" s="7" t="s">
        <v>166</v>
      </c>
      <c r="B9" s="22" t="n">
        <f aca="false">B8*Assumptions!$C$41</f>
        <v>780</v>
      </c>
      <c r="C9" s="22" t="n">
        <f aca="false">C8*Assumptions!$C$41</f>
        <v>1664</v>
      </c>
      <c r="D9" s="22" t="n">
        <f aca="false">D8*Assumptions!$C$41</f>
        <v>3120</v>
      </c>
    </row>
    <row r="10" customFormat="false" ht="15" hidden="false" customHeight="false" outlineLevel="0" collapsed="false">
      <c r="A10" s="7" t="s">
        <v>167</v>
      </c>
      <c r="B10" s="18" t="n">
        <f aca="false">B8/Assumptions!$C$10</f>
        <v>3</v>
      </c>
      <c r="C10" s="18" t="n">
        <f aca="false">C8/Assumptions!$C$10</f>
        <v>6.4</v>
      </c>
      <c r="D10" s="18" t="n">
        <f aca="false">D8/Assumptions!$C$10</f>
        <v>12</v>
      </c>
    </row>
    <row r="11" customFormat="false" ht="15" hidden="false" customHeight="false" outlineLevel="0" collapsed="false">
      <c r="A11" s="7" t="s">
        <v>168</v>
      </c>
      <c r="B11" s="20" t="n">
        <f aca="false">IF('Cyclist Economics'!$B$15=0,0,B10/'Cyclist Economics'!$B$15)</f>
        <v>0.190625</v>
      </c>
      <c r="C11" s="20" t="n">
        <f aca="false">IF('Cyclist Economics'!$B$15=0,0,C10/'Cyclist Economics'!$B$15)</f>
        <v>0.406666666666667</v>
      </c>
      <c r="D11" s="20" t="n">
        <f aca="false">IF('Cyclist Economics'!$B$15=0,0,D10/'Cyclist Economics'!$B$15)</f>
        <v>0.7625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6" t="s">
        <v>169</v>
      </c>
    </row>
    <row r="14" customFormat="false" ht="15" hidden="false" customHeight="false" outlineLevel="0" collapsed="false">
      <c r="A14" s="7" t="s">
        <v>170</v>
      </c>
      <c r="B14" s="22" t="n">
        <f aca="false">B9*(1-Assumptions!$C$7)</f>
        <v>772.2</v>
      </c>
      <c r="C14" s="22" t="n">
        <f aca="false">C9*(1-Assumptions!$C$7)</f>
        <v>1647.36</v>
      </c>
      <c r="D14" s="22" t="n">
        <f aca="false">D9*(1-Assumptions!$C$7)</f>
        <v>3088.8</v>
      </c>
    </row>
    <row r="15" customFormat="false" ht="15" hidden="false" customHeight="false" outlineLevel="0" collapsed="false">
      <c r="A15" s="23" t="s">
        <v>171</v>
      </c>
      <c r="B15" s="17" t="n">
        <f aca="false">B14*Assumptions!$C$6</f>
        <v>694980</v>
      </c>
      <c r="C15" s="17" t="n">
        <f aca="false">C14*Assumptions!$C$6</f>
        <v>1482624</v>
      </c>
      <c r="D15" s="17" t="n">
        <f aca="false">D14*Assumptions!$C$6</f>
        <v>2779920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6" t="s">
        <v>172</v>
      </c>
    </row>
    <row r="18" customFormat="false" ht="15" hidden="false" customHeight="false" outlineLevel="0" collapsed="false">
      <c r="A18" s="7" t="s">
        <v>173</v>
      </c>
      <c r="B18" s="16" t="n">
        <f aca="false">B9*Assumptions!$C$8</f>
        <v>7800</v>
      </c>
      <c r="C18" s="16" t="n">
        <f aca="false">C9*Assumptions!$C$8</f>
        <v>16640</v>
      </c>
      <c r="D18" s="16" t="n">
        <f aca="false">D9*Assumptions!$C$8</f>
        <v>31200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6" t="s">
        <v>174</v>
      </c>
    </row>
    <row r="21" customFormat="false" ht="15" hidden="false" customHeight="false" outlineLevel="0" collapsed="false">
      <c r="A21" s="7" t="s">
        <v>175</v>
      </c>
      <c r="B21" s="15" t="n">
        <f aca="false">'Cyclist Economics'!$B$10*Assumptions!$C$10</f>
        <v>755000</v>
      </c>
      <c r="C21" s="15" t="n">
        <f aca="false">'Cyclist Economics'!$B$10*Assumptions!$C$10</f>
        <v>755000</v>
      </c>
      <c r="D21" s="15" t="n">
        <f aca="false">'Cyclist Economics'!$B$10*Assumptions!$C$10</f>
        <v>755000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6" t="s">
        <v>176</v>
      </c>
    </row>
    <row r="24" customFormat="false" ht="15" hidden="false" customHeight="false" outlineLevel="0" collapsed="false">
      <c r="A24" s="7" t="s">
        <v>177</v>
      </c>
      <c r="B24" s="15" t="n">
        <f aca="false">Assumptions!$C$27</f>
        <v>120000</v>
      </c>
      <c r="C24" s="15" t="n">
        <f aca="false">Assumptions!$C$27</f>
        <v>120000</v>
      </c>
      <c r="D24" s="15" t="n">
        <f aca="false">Assumptions!$C$27</f>
        <v>120000</v>
      </c>
    </row>
    <row r="25" customFormat="false" ht="15" hidden="false" customHeight="false" outlineLevel="0" collapsed="false">
      <c r="A25" s="7" t="s">
        <v>178</v>
      </c>
      <c r="B25" s="15" t="n">
        <f aca="false">Assumptions!$C$28</f>
        <v>40000</v>
      </c>
      <c r="C25" s="15" t="n">
        <f aca="false">Assumptions!$C$28</f>
        <v>40000</v>
      </c>
      <c r="D25" s="15" t="n">
        <f aca="false">Assumptions!$C$28</f>
        <v>40000</v>
      </c>
    </row>
    <row r="26" customFormat="false" ht="15" hidden="false" customHeight="false" outlineLevel="0" collapsed="false">
      <c r="A26" s="7" t="s">
        <v>179</v>
      </c>
      <c r="B26" s="15" t="n">
        <f aca="false">Assumptions!$C$29</f>
        <v>50000</v>
      </c>
      <c r="C26" s="15" t="n">
        <f aca="false">Assumptions!$C$29</f>
        <v>50000</v>
      </c>
      <c r="D26" s="15" t="n">
        <f aca="false">Assumptions!$C$29</f>
        <v>50000</v>
      </c>
    </row>
    <row r="27" customFormat="false" ht="15" hidden="false" customHeight="false" outlineLevel="0" collapsed="false">
      <c r="A27" s="7" t="s">
        <v>180</v>
      </c>
      <c r="B27" s="15" t="n">
        <f aca="false">Assumptions!$C$30</f>
        <v>20000</v>
      </c>
      <c r="C27" s="15" t="n">
        <f aca="false">Assumptions!$C$30</f>
        <v>20000</v>
      </c>
      <c r="D27" s="15" t="n">
        <f aca="false">Assumptions!$C$30</f>
        <v>20000</v>
      </c>
    </row>
    <row r="28" customFormat="false" ht="15" hidden="false" customHeight="false" outlineLevel="0" collapsed="false">
      <c r="A28" s="7" t="s">
        <v>181</v>
      </c>
      <c r="B28" s="15" t="n">
        <f aca="false">Assumptions!$C$31/12</f>
        <v>41666.6666666667</v>
      </c>
      <c r="C28" s="15" t="n">
        <f aca="false">Assumptions!$C$31/12</f>
        <v>41666.6666666667</v>
      </c>
      <c r="D28" s="15" t="n">
        <f aca="false">Assumptions!$C$31/12</f>
        <v>41666.6666666667</v>
      </c>
    </row>
    <row r="29" customFormat="false" ht="15" hidden="false" customHeight="false" outlineLevel="0" collapsed="false">
      <c r="A29" s="7" t="s">
        <v>182</v>
      </c>
      <c r="B29" s="15" t="n">
        <f aca="false">Assumptions!$C$32/12</f>
        <v>5000</v>
      </c>
      <c r="C29" s="15" t="n">
        <f aca="false">Assumptions!$C$32/12</f>
        <v>5000</v>
      </c>
      <c r="D29" s="15" t="n">
        <f aca="false">Assumptions!$C$32/12</f>
        <v>5000</v>
      </c>
    </row>
    <row r="30" customFormat="false" ht="15" hidden="false" customHeight="false" outlineLevel="0" collapsed="false">
      <c r="A30" s="7" t="s">
        <v>183</v>
      </c>
      <c r="B30" s="15" t="n">
        <f aca="false">Assumptions!$C$33</f>
        <v>25000</v>
      </c>
      <c r="C30" s="15" t="n">
        <f aca="false">Assumptions!$C$33</f>
        <v>25000</v>
      </c>
      <c r="D30" s="15" t="n">
        <f aca="false">Assumptions!$C$33</f>
        <v>25000</v>
      </c>
    </row>
    <row r="31" customFormat="false" ht="15" hidden="false" customHeight="false" outlineLevel="0" collapsed="false">
      <c r="A31" s="23" t="s">
        <v>184</v>
      </c>
      <c r="B31" s="17" t="n">
        <f aca="false">SUM(B24:B30)</f>
        <v>301666.666666667</v>
      </c>
      <c r="C31" s="17" t="n">
        <f aca="false">SUM(C24:C30)</f>
        <v>301666.666666667</v>
      </c>
      <c r="D31" s="17" t="n">
        <f aca="false">SUM(D24:D30)</f>
        <v>301666.666666667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6" t="s">
        <v>185</v>
      </c>
    </row>
    <row r="34" customFormat="false" ht="15" hidden="false" customHeight="false" outlineLevel="0" collapsed="false">
      <c r="A34" s="23" t="s">
        <v>186</v>
      </c>
      <c r="B34" s="17" t="n">
        <f aca="false">B18+B21+B31</f>
        <v>1064466.66666667</v>
      </c>
      <c r="C34" s="17" t="n">
        <f aca="false">C18+C21+C31</f>
        <v>1073306.66666667</v>
      </c>
      <c r="D34" s="17" t="n">
        <f aca="false">D18+D21+D31</f>
        <v>1087866.66666667</v>
      </c>
    </row>
    <row r="35" customFormat="false" ht="15" hidden="false" customHeight="false" outlineLevel="0" collapsed="false">
      <c r="A35" s="23" t="s">
        <v>187</v>
      </c>
      <c r="B35" s="17" t="n">
        <f aca="false">B15-B34</f>
        <v>-369486.666666667</v>
      </c>
      <c r="C35" s="17" t="n">
        <f aca="false">C15-C34</f>
        <v>409317.333333333</v>
      </c>
      <c r="D35" s="17" t="n">
        <f aca="false">D15-D34</f>
        <v>1692053.33333333</v>
      </c>
    </row>
    <row r="36" customFormat="false" ht="15" hidden="false" customHeight="false" outlineLevel="0" collapsed="false">
      <c r="A36" s="7" t="s">
        <v>188</v>
      </c>
      <c r="B36" s="20" t="n">
        <f aca="false">IF(B15=0,0,B35/B15)</f>
        <v>-0.53165079091005</v>
      </c>
      <c r="C36" s="20" t="n">
        <f aca="false">IF(C15=0,0,C35/C15)</f>
        <v>0.276076289965179</v>
      </c>
      <c r="D36" s="20" t="n">
        <f aca="false">IF(D15=0,0,D35/D15)</f>
        <v>0.608669793854979</v>
      </c>
    </row>
    <row r="37" customFormat="false" ht="15" hidden="false" customHeight="false" outlineLevel="0" collapsed="false">
      <c r="A37" s="7" t="s">
        <v>189</v>
      </c>
      <c r="B37" s="16" t="n">
        <f aca="false">IF(B14=0,0,B34/B14)</f>
        <v>1378.48571181905</v>
      </c>
      <c r="C37" s="16" t="n">
        <f aca="false">IF(C14=0,0,C34/C14)</f>
        <v>651.531339031339</v>
      </c>
      <c r="D37" s="16" t="n">
        <f aca="false">IF(D14=0,0,D34/D14)</f>
        <v>352.197185530519</v>
      </c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6" t="s">
        <v>190</v>
      </c>
    </row>
    <row r="40" customFormat="false" ht="15" hidden="false" customHeight="false" outlineLevel="0" collapsed="false">
      <c r="A40" s="7" t="s">
        <v>191</v>
      </c>
      <c r="B40" s="16" t="n">
        <f aca="false">B21+B31</f>
        <v>1056666.66666667</v>
      </c>
      <c r="C40" s="16" t="n">
        <f aca="false">C21+C31</f>
        <v>1056666.66666667</v>
      </c>
      <c r="D40" s="16" t="n">
        <f aca="false">D21+D31</f>
        <v>1056666.66666667</v>
      </c>
    </row>
    <row r="41" customFormat="false" ht="15" hidden="false" customHeight="false" outlineLevel="0" collapsed="false">
      <c r="A41" s="7" t="s">
        <v>192</v>
      </c>
      <c r="B41" s="15" t="n">
        <f aca="false">Assumptions!$C$6*(1-Assumptions!$C$7)-Assumptions!$C$8</f>
        <v>881</v>
      </c>
      <c r="C41" s="15" t="n">
        <f aca="false">Assumptions!$C$6*(1-Assumptions!$C$7)-Assumptions!$C$8</f>
        <v>881</v>
      </c>
      <c r="D41" s="15" t="n">
        <f aca="false">Assumptions!$C$6*(1-Assumptions!$C$7)-Assumptions!$C$8</f>
        <v>881</v>
      </c>
    </row>
    <row r="42" customFormat="false" ht="15" hidden="false" customHeight="false" outlineLevel="0" collapsed="false">
      <c r="A42" s="7" t="s">
        <v>193</v>
      </c>
      <c r="B42" s="22" t="n">
        <f aca="false">IF(B41&lt;=0,0,B40/B41)</f>
        <v>1199.39462731744</v>
      </c>
      <c r="C42" s="22" t="n">
        <f aca="false">IF(C41&lt;=0,0,C40/C41)</f>
        <v>1199.39462731744</v>
      </c>
      <c r="D42" s="22" t="n">
        <f aca="false">IF(D41&lt;=0,0,D40/D41)</f>
        <v>1199.39462731744</v>
      </c>
    </row>
    <row r="43" customFormat="false" ht="15" hidden="false" customHeight="false" outlineLevel="0" collapsed="false">
      <c r="A43" s="23" t="s">
        <v>194</v>
      </c>
      <c r="B43" s="19" t="n">
        <f aca="false">B42/Assumptions!$C$41</f>
        <v>46.1305625891324</v>
      </c>
      <c r="C43" s="19" t="n">
        <f aca="false">C42/Assumptions!$C$41</f>
        <v>46.1305625891324</v>
      </c>
      <c r="D43" s="19" t="n">
        <f aca="false">D42/Assumptions!$C$41</f>
        <v>46.1305625891324</v>
      </c>
    </row>
    <row r="44" customFormat="false" ht="15" hidden="false" customHeight="false" outlineLevel="0" collapsed="false">
      <c r="A44" s="23" t="s">
        <v>195</v>
      </c>
      <c r="B44" s="19" t="n">
        <f aca="false">B43/Assumptions!$C$10</f>
        <v>4.61305625891324</v>
      </c>
      <c r="C44" s="19" t="n">
        <f aca="false">C43/Assumptions!$C$10</f>
        <v>4.61305625891324</v>
      </c>
      <c r="D44" s="19" t="n">
        <f aca="false">D43/Assumptions!$C$10</f>
        <v>4.61305625891324</v>
      </c>
    </row>
    <row r="45" customFormat="false" ht="15" hidden="false" customHeight="false" outlineLevel="0" collapsed="false">
      <c r="A45" s="7" t="s">
        <v>196</v>
      </c>
      <c r="B45" s="18" t="n">
        <f aca="false">B8-B43</f>
        <v>-16.1305625891324</v>
      </c>
      <c r="C45" s="18" t="n">
        <f aca="false">C8-C43</f>
        <v>17.8694374108676</v>
      </c>
      <c r="D45" s="18" t="n">
        <f aca="false">D8-D43</f>
        <v>73.8694374108676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15" hidden="false" customHeight="false" outlineLevel="0" collapsed="false">
      <c r="A4" s="5" t="s">
        <v>199</v>
      </c>
      <c r="B4" s="24" t="n">
        <v>600</v>
      </c>
      <c r="C4" s="24" t="n">
        <v>700</v>
      </c>
      <c r="D4" s="24" t="n">
        <v>800</v>
      </c>
      <c r="E4" s="24" t="n">
        <v>900</v>
      </c>
      <c r="F4" s="24" t="n">
        <v>1000</v>
      </c>
      <c r="G4" s="24" t="n">
        <v>1200</v>
      </c>
    </row>
    <row r="5" customFormat="false" ht="15" hidden="false" customHeight="false" outlineLevel="0" collapsed="false">
      <c r="A5" s="25" t="n">
        <v>4</v>
      </c>
      <c r="B5" s="16" t="n">
        <f aca="false">($A5*Assumptions!$C$10*Assumptions!$C$41)*(1-Assumptions!$C$7)*B$4-($A5*Assumptions!$C$10*Assumptions!$C$41)*Assumptions!$C$8-'Cyclist Economics'!$B$10*Assumptions!$C$10-'Zone P&amp;L'!$C$31</f>
        <v>-449306.666666667</v>
      </c>
      <c r="C5" s="16" t="n">
        <f aca="false">($A5*Assumptions!$C$10*Assumptions!$C$41)*(1-Assumptions!$C$7)*C$4-($A5*Assumptions!$C$10*Assumptions!$C$41)*Assumptions!$C$8-'Cyclist Economics'!$B$10*Assumptions!$C$10-'Zone P&amp;L'!$C$31</f>
        <v>-346346.666666667</v>
      </c>
      <c r="D5" s="16" t="n">
        <f aca="false">($A5*Assumptions!$C$10*Assumptions!$C$41)*(1-Assumptions!$C$7)*D$4-($A5*Assumptions!$C$10*Assumptions!$C$41)*Assumptions!$C$8-'Cyclist Economics'!$B$10*Assumptions!$C$10-'Zone P&amp;L'!$C$31</f>
        <v>-243386.666666667</v>
      </c>
      <c r="E5" s="16" t="n">
        <f aca="false">($A5*Assumptions!$C$10*Assumptions!$C$41)*(1-Assumptions!$C$7)*E$4-($A5*Assumptions!$C$10*Assumptions!$C$41)*Assumptions!$C$8-'Cyclist Economics'!$B$10*Assumptions!$C$10-'Zone P&amp;L'!$C$31</f>
        <v>-140426.666666667</v>
      </c>
      <c r="F5" s="16" t="n">
        <f aca="false">($A5*Assumptions!$C$10*Assumptions!$C$41)*(1-Assumptions!$C$7)*F$4-($A5*Assumptions!$C$10*Assumptions!$C$41)*Assumptions!$C$8-'Cyclist Economics'!$B$10*Assumptions!$C$10-'Zone P&amp;L'!$C$31</f>
        <v>-37466.6666666668</v>
      </c>
      <c r="G5" s="16" t="n">
        <f aca="false">($A5*Assumptions!$C$10*Assumptions!$C$41)*(1-Assumptions!$C$7)*G$4-($A5*Assumptions!$C$10*Assumptions!$C$41)*Assumptions!$C$8-'Cyclist Economics'!$B$10*Assumptions!$C$10-'Zone P&amp;L'!$C$31</f>
        <v>168453.333333333</v>
      </c>
    </row>
    <row r="6" customFormat="false" ht="15" hidden="false" customHeight="false" outlineLevel="0" collapsed="false">
      <c r="A6" s="25" t="n">
        <v>6</v>
      </c>
      <c r="B6" s="16" t="n">
        <f aca="false">($A6*Assumptions!$C$10*Assumptions!$C$41)*(1-Assumptions!$C$7)*B$4-($A6*Assumptions!$C$10*Assumptions!$C$41)*Assumptions!$C$8-'Cyclist Economics'!$B$10*Assumptions!$C$10-'Zone P&amp;L'!$C$31</f>
        <v>-145626.666666667</v>
      </c>
      <c r="C6" s="16" t="n">
        <f aca="false">($A6*Assumptions!$C$10*Assumptions!$C$41)*(1-Assumptions!$C$7)*C$4-($A6*Assumptions!$C$10*Assumptions!$C$41)*Assumptions!$C$8-'Cyclist Economics'!$B$10*Assumptions!$C$10-'Zone P&amp;L'!$C$31</f>
        <v>8813.33333333331</v>
      </c>
      <c r="D6" s="16" t="n">
        <f aca="false">($A6*Assumptions!$C$10*Assumptions!$C$41)*(1-Assumptions!$C$7)*D$4-($A6*Assumptions!$C$10*Assumptions!$C$41)*Assumptions!$C$8-'Cyclist Economics'!$B$10*Assumptions!$C$10-'Zone P&amp;L'!$C$31</f>
        <v>163253.333333333</v>
      </c>
      <c r="E6" s="16" t="n">
        <f aca="false">($A6*Assumptions!$C$10*Assumptions!$C$41)*(1-Assumptions!$C$7)*E$4-($A6*Assumptions!$C$10*Assumptions!$C$41)*Assumptions!$C$8-'Cyclist Economics'!$B$10*Assumptions!$C$10-'Zone P&amp;L'!$C$31</f>
        <v>317693.333333333</v>
      </c>
      <c r="F6" s="16" t="n">
        <f aca="false">($A6*Assumptions!$C$10*Assumptions!$C$41)*(1-Assumptions!$C$7)*F$4-($A6*Assumptions!$C$10*Assumptions!$C$41)*Assumptions!$C$8-'Cyclist Economics'!$B$10*Assumptions!$C$10-'Zone P&amp;L'!$C$31</f>
        <v>472133.333333333</v>
      </c>
      <c r="G6" s="16" t="n">
        <f aca="false">($A6*Assumptions!$C$10*Assumptions!$C$41)*(1-Assumptions!$C$7)*G$4-($A6*Assumptions!$C$10*Assumptions!$C$41)*Assumptions!$C$8-'Cyclist Economics'!$B$10*Assumptions!$C$10-'Zone P&amp;L'!$C$31</f>
        <v>781013.333333333</v>
      </c>
    </row>
    <row r="7" customFormat="false" ht="15" hidden="false" customHeight="false" outlineLevel="0" collapsed="false">
      <c r="A7" s="25" t="n">
        <v>8</v>
      </c>
      <c r="B7" s="16" t="n">
        <f aca="false">($A7*Assumptions!$C$10*Assumptions!$C$41)*(1-Assumptions!$C$7)*B$4-($A7*Assumptions!$C$10*Assumptions!$C$41)*Assumptions!$C$8-'Cyclist Economics'!$B$10*Assumptions!$C$10-'Zone P&amp;L'!$C$31</f>
        <v>158053.333333333</v>
      </c>
      <c r="C7" s="16" t="n">
        <f aca="false">($A7*Assumptions!$C$10*Assumptions!$C$41)*(1-Assumptions!$C$7)*C$4-($A7*Assumptions!$C$10*Assumptions!$C$41)*Assumptions!$C$8-'Cyclist Economics'!$B$10*Assumptions!$C$10-'Zone P&amp;L'!$C$31</f>
        <v>363973.333333333</v>
      </c>
      <c r="D7" s="16" t="n">
        <f aca="false">($A7*Assumptions!$C$10*Assumptions!$C$41)*(1-Assumptions!$C$7)*D$4-($A7*Assumptions!$C$10*Assumptions!$C$41)*Assumptions!$C$8-'Cyclist Economics'!$B$10*Assumptions!$C$10-'Zone P&amp;L'!$C$31</f>
        <v>569893.333333333</v>
      </c>
      <c r="E7" s="16" t="n">
        <f aca="false">($A7*Assumptions!$C$10*Assumptions!$C$41)*(1-Assumptions!$C$7)*E$4-($A7*Assumptions!$C$10*Assumptions!$C$41)*Assumptions!$C$8-'Cyclist Economics'!$B$10*Assumptions!$C$10-'Zone P&amp;L'!$C$31</f>
        <v>775813.333333333</v>
      </c>
      <c r="F7" s="16" t="n">
        <f aca="false">($A7*Assumptions!$C$10*Assumptions!$C$41)*(1-Assumptions!$C$7)*F$4-($A7*Assumptions!$C$10*Assumptions!$C$41)*Assumptions!$C$8-'Cyclist Economics'!$B$10*Assumptions!$C$10-'Zone P&amp;L'!$C$31</f>
        <v>981733.333333333</v>
      </c>
      <c r="G7" s="16" t="n">
        <f aca="false">($A7*Assumptions!$C$10*Assumptions!$C$41)*(1-Assumptions!$C$7)*G$4-($A7*Assumptions!$C$10*Assumptions!$C$41)*Assumptions!$C$8-'Cyclist Economics'!$B$10*Assumptions!$C$10-'Zone P&amp;L'!$C$31</f>
        <v>1393573.33333333</v>
      </c>
    </row>
    <row r="8" customFormat="false" ht="15" hidden="false" customHeight="false" outlineLevel="0" collapsed="false">
      <c r="A8" s="25" t="n">
        <v>10</v>
      </c>
      <c r="B8" s="16" t="n">
        <f aca="false">($A8*Assumptions!$C$10*Assumptions!$C$41)*(1-Assumptions!$C$7)*B$4-($A8*Assumptions!$C$10*Assumptions!$C$41)*Assumptions!$C$8-'Cyclist Economics'!$B$10*Assumptions!$C$10-'Zone P&amp;L'!$C$31</f>
        <v>461733.333333333</v>
      </c>
      <c r="C8" s="16" t="n">
        <f aca="false">($A8*Assumptions!$C$10*Assumptions!$C$41)*(1-Assumptions!$C$7)*C$4-($A8*Assumptions!$C$10*Assumptions!$C$41)*Assumptions!$C$8-'Cyclist Economics'!$B$10*Assumptions!$C$10-'Zone P&amp;L'!$C$31</f>
        <v>719133.333333333</v>
      </c>
      <c r="D8" s="16" t="n">
        <f aca="false">($A8*Assumptions!$C$10*Assumptions!$C$41)*(1-Assumptions!$C$7)*D$4-($A8*Assumptions!$C$10*Assumptions!$C$41)*Assumptions!$C$8-'Cyclist Economics'!$B$10*Assumptions!$C$10-'Zone P&amp;L'!$C$31</f>
        <v>976533.333333333</v>
      </c>
      <c r="E8" s="16" t="n">
        <f aca="false">($A8*Assumptions!$C$10*Assumptions!$C$41)*(1-Assumptions!$C$7)*E$4-($A8*Assumptions!$C$10*Assumptions!$C$41)*Assumptions!$C$8-'Cyclist Economics'!$B$10*Assumptions!$C$10-'Zone P&amp;L'!$C$31</f>
        <v>1233933.33333333</v>
      </c>
      <c r="F8" s="16" t="n">
        <f aca="false">($A8*Assumptions!$C$10*Assumptions!$C$41)*(1-Assumptions!$C$7)*F$4-($A8*Assumptions!$C$10*Assumptions!$C$41)*Assumptions!$C$8-'Cyclist Economics'!$B$10*Assumptions!$C$10-'Zone P&amp;L'!$C$31</f>
        <v>1491333.33333333</v>
      </c>
      <c r="G8" s="16" t="n">
        <f aca="false">($A8*Assumptions!$C$10*Assumptions!$C$41)*(1-Assumptions!$C$7)*G$4-($A8*Assumptions!$C$10*Assumptions!$C$41)*Assumptions!$C$8-'Cyclist Economics'!$B$10*Assumptions!$C$10-'Zone P&amp;L'!$C$31</f>
        <v>2006133.33333333</v>
      </c>
    </row>
    <row r="9" customFormat="false" ht="15" hidden="false" customHeight="false" outlineLevel="0" collapsed="false">
      <c r="A9" s="25" t="n">
        <v>12</v>
      </c>
      <c r="B9" s="16" t="n">
        <f aca="false">($A9*Assumptions!$C$10*Assumptions!$C$41)*(1-Assumptions!$C$7)*B$4-($A9*Assumptions!$C$10*Assumptions!$C$41)*Assumptions!$C$8-'Cyclist Economics'!$B$10*Assumptions!$C$10-'Zone P&amp;L'!$C$31</f>
        <v>765413.333333333</v>
      </c>
      <c r="C9" s="16" t="n">
        <f aca="false">($A9*Assumptions!$C$10*Assumptions!$C$41)*(1-Assumptions!$C$7)*C$4-($A9*Assumptions!$C$10*Assumptions!$C$41)*Assumptions!$C$8-'Cyclist Economics'!$B$10*Assumptions!$C$10-'Zone P&amp;L'!$C$31</f>
        <v>1074293.33333333</v>
      </c>
      <c r="D9" s="16" t="n">
        <f aca="false">($A9*Assumptions!$C$10*Assumptions!$C$41)*(1-Assumptions!$C$7)*D$4-($A9*Assumptions!$C$10*Assumptions!$C$41)*Assumptions!$C$8-'Cyclist Economics'!$B$10*Assumptions!$C$10-'Zone P&amp;L'!$C$31</f>
        <v>1383173.33333333</v>
      </c>
      <c r="E9" s="16" t="n">
        <f aca="false">($A9*Assumptions!$C$10*Assumptions!$C$41)*(1-Assumptions!$C$7)*E$4-($A9*Assumptions!$C$10*Assumptions!$C$41)*Assumptions!$C$8-'Cyclist Economics'!$B$10*Assumptions!$C$10-'Zone P&amp;L'!$C$31</f>
        <v>1692053.33333333</v>
      </c>
      <c r="F9" s="16" t="n">
        <f aca="false">($A9*Assumptions!$C$10*Assumptions!$C$41)*(1-Assumptions!$C$7)*F$4-($A9*Assumptions!$C$10*Assumptions!$C$41)*Assumptions!$C$8-'Cyclist Economics'!$B$10*Assumptions!$C$10-'Zone P&amp;L'!$C$31</f>
        <v>2000933.33333333</v>
      </c>
      <c r="G9" s="16" t="n">
        <f aca="false">($A9*Assumptions!$C$10*Assumptions!$C$41)*(1-Assumptions!$C$7)*G$4-($A9*Assumptions!$C$10*Assumptions!$C$41)*Assumptions!$C$8-'Cyclist Economics'!$B$10*Assumptions!$C$10-'Zone P&amp;L'!$C$31</f>
        <v>2618693.33333333</v>
      </c>
    </row>
    <row r="10" customFormat="false" ht="15" hidden="false" customHeight="false" outlineLevel="0" collapsed="false">
      <c r="A10" s="25" t="n">
        <v>14</v>
      </c>
      <c r="B10" s="16" t="n">
        <f aca="false">($A10*Assumptions!$C$10*Assumptions!$C$41)*(1-Assumptions!$C$7)*B$4-($A10*Assumptions!$C$10*Assumptions!$C$41)*Assumptions!$C$8-'Cyclist Economics'!$B$10*Assumptions!$C$10-'Zone P&amp;L'!$C$31</f>
        <v>1069093.33333333</v>
      </c>
      <c r="C10" s="16" t="n">
        <f aca="false">($A10*Assumptions!$C$10*Assumptions!$C$41)*(1-Assumptions!$C$7)*C$4-($A10*Assumptions!$C$10*Assumptions!$C$41)*Assumptions!$C$8-'Cyclist Economics'!$B$10*Assumptions!$C$10-'Zone P&amp;L'!$C$31</f>
        <v>1429453.33333333</v>
      </c>
      <c r="D10" s="16" t="n">
        <f aca="false">($A10*Assumptions!$C$10*Assumptions!$C$41)*(1-Assumptions!$C$7)*D$4-($A10*Assumptions!$C$10*Assumptions!$C$41)*Assumptions!$C$8-'Cyclist Economics'!$B$10*Assumptions!$C$10-'Zone P&amp;L'!$C$31</f>
        <v>1789813.33333333</v>
      </c>
      <c r="E10" s="16" t="n">
        <f aca="false">($A10*Assumptions!$C$10*Assumptions!$C$41)*(1-Assumptions!$C$7)*E$4-($A10*Assumptions!$C$10*Assumptions!$C$41)*Assumptions!$C$8-'Cyclist Economics'!$B$10*Assumptions!$C$10-'Zone P&amp;L'!$C$31</f>
        <v>2150173.33333333</v>
      </c>
      <c r="F10" s="16" t="n">
        <f aca="false">($A10*Assumptions!$C$10*Assumptions!$C$41)*(1-Assumptions!$C$7)*F$4-($A10*Assumptions!$C$10*Assumptions!$C$41)*Assumptions!$C$8-'Cyclist Economics'!$B$10*Assumptions!$C$10-'Zone P&amp;L'!$C$31</f>
        <v>2510533.33333333</v>
      </c>
      <c r="G10" s="16" t="n">
        <f aca="false">($A10*Assumptions!$C$10*Assumptions!$C$41)*(1-Assumptions!$C$7)*G$4-($A10*Assumptions!$C$10*Assumptions!$C$41)*Assumptions!$C$8-'Cyclist Economics'!$B$10*Assumptions!$C$10-'Zone P&amp;L'!$C$31</f>
        <v>3231253.33333333</v>
      </c>
    </row>
    <row r="11" customFormat="false" ht="15" hidden="false" customHeight="false" outlineLevel="0" collapsed="false">
      <c r="A11" s="25" t="n">
        <v>16</v>
      </c>
      <c r="B11" s="16" t="n">
        <f aca="false">($A11*Assumptions!$C$10*Assumptions!$C$41)*(1-Assumptions!$C$7)*B$4-($A11*Assumptions!$C$10*Assumptions!$C$41)*Assumptions!$C$8-'Cyclist Economics'!$B$10*Assumptions!$C$10-'Zone P&amp;L'!$C$31</f>
        <v>1372773.33333333</v>
      </c>
      <c r="C11" s="16" t="n">
        <f aca="false">($A11*Assumptions!$C$10*Assumptions!$C$41)*(1-Assumptions!$C$7)*C$4-($A11*Assumptions!$C$10*Assumptions!$C$41)*Assumptions!$C$8-'Cyclist Economics'!$B$10*Assumptions!$C$10-'Zone P&amp;L'!$C$31</f>
        <v>1784613.33333333</v>
      </c>
      <c r="D11" s="16" t="n">
        <f aca="false">($A11*Assumptions!$C$10*Assumptions!$C$41)*(1-Assumptions!$C$7)*D$4-($A11*Assumptions!$C$10*Assumptions!$C$41)*Assumptions!$C$8-'Cyclist Economics'!$B$10*Assumptions!$C$10-'Zone P&amp;L'!$C$31</f>
        <v>2196453.33333333</v>
      </c>
      <c r="E11" s="16" t="n">
        <f aca="false">($A11*Assumptions!$C$10*Assumptions!$C$41)*(1-Assumptions!$C$7)*E$4-($A11*Assumptions!$C$10*Assumptions!$C$41)*Assumptions!$C$8-'Cyclist Economics'!$B$10*Assumptions!$C$10-'Zone P&amp;L'!$C$31</f>
        <v>2608293.33333333</v>
      </c>
      <c r="F11" s="16" t="n">
        <f aca="false">($A11*Assumptions!$C$10*Assumptions!$C$41)*(1-Assumptions!$C$7)*F$4-($A11*Assumptions!$C$10*Assumptions!$C$41)*Assumptions!$C$8-'Cyclist Economics'!$B$10*Assumptions!$C$10-'Zone P&amp;L'!$C$31</f>
        <v>3020133.33333333</v>
      </c>
      <c r="G11" s="16" t="n">
        <f aca="false">($A11*Assumptions!$C$10*Assumptions!$C$41)*(1-Assumptions!$C$7)*G$4-($A11*Assumptions!$C$10*Assumptions!$C$41)*Assumptions!$C$8-'Cyclist Economics'!$B$10*Assumptions!$C$10-'Zone P&amp;L'!$C$31</f>
        <v>3843813.33333333</v>
      </c>
    </row>
    <row r="13" customFormat="false" ht="31.5" hidden="false" customHeight="true" outlineLevel="0" collapsed="false">
      <c r="A13" s="26" t="s">
        <v>200</v>
      </c>
      <c r="B13" s="26"/>
      <c r="C13" s="26"/>
      <c r="D13" s="26"/>
      <c r="E13" s="26"/>
      <c r="F13" s="26"/>
      <c r="G13" s="26"/>
    </row>
    <row r="15" customFormat="false" ht="15" hidden="false" customHeight="false" outlineLevel="0" collapsed="false">
      <c r="A15" s="6" t="s">
        <v>201</v>
      </c>
    </row>
    <row r="16" customFormat="false" ht="15" hidden="false" customHeight="false" outlineLevel="0" collapsed="false">
      <c r="A16" s="5" t="s">
        <v>202</v>
      </c>
      <c r="B16" s="24" t="n">
        <v>600</v>
      </c>
      <c r="C16" s="24" t="n">
        <v>700</v>
      </c>
      <c r="D16" s="24" t="n">
        <v>800</v>
      </c>
      <c r="E16" s="24" t="n">
        <v>900</v>
      </c>
      <c r="F16" s="24" t="n">
        <v>1000</v>
      </c>
      <c r="G16" s="24" t="n">
        <v>1200</v>
      </c>
    </row>
    <row r="17" customFormat="false" ht="15" hidden="false" customHeight="false" outlineLevel="0" collapsed="false">
      <c r="A17" s="24" t="n">
        <v>45000</v>
      </c>
      <c r="B17" s="18" t="n">
        <f aca="false">IF((B$16*(1-Assumptions!$C$7)-Assumptions!$C$8)&lt;=0,0,(Assumptions!$C$10*($A17+('Cyclist Economics'!$B$10-'Cyclist Economics'!$B$5))+'Zone P&amp;L'!$C$31)/(Assumptions!$C$10*Assumptions!$C$41*(B$16*(1-Assumptions!$C$7)-Assumptions!$C$8)))</f>
        <v>5.97119775201967</v>
      </c>
      <c r="C17" s="18" t="n">
        <f aca="false">IF((C$16*(1-Assumptions!$C$7)-Assumptions!$C$8)&lt;=0,0,(Assumptions!$C$10*($A17+('Cyclist Economics'!$B$10-'Cyclist Economics'!$B$5))+'Zone P&amp;L'!$C$31)/(Assumptions!$C$10*Assumptions!$C$41*(C$16*(1-Assumptions!$C$7)-Assumptions!$C$8)))</f>
        <v>5.10568006907685</v>
      </c>
      <c r="D17" s="18" t="n">
        <f aca="false">IF((D$16*(1-Assumptions!$C$7)-Assumptions!$C$8)&lt;=0,0,(Assumptions!$C$10*($A17+('Cyclist Economics'!$B$10-'Cyclist Economics'!$B$5))+'Zone P&amp;L'!$C$31)/(Assumptions!$C$10*Assumptions!$C$41*(D$16*(1-Assumptions!$C$7)-Assumptions!$C$8)))</f>
        <v>4.45930880713489</v>
      </c>
      <c r="E17" s="18" t="n">
        <f aca="false">IF((E$16*(1-Assumptions!$C$7)-Assumptions!$C$8)&lt;=0,0,(Assumptions!$C$10*($A17+('Cyclist Economics'!$B$10-'Cyclist Economics'!$B$5))+'Zone P&amp;L'!$C$31)/(Assumptions!$C$10*Assumptions!$C$41*(E$16*(1-Assumptions!$C$7)-Assumptions!$C$8)))</f>
        <v>3.95820600133881</v>
      </c>
      <c r="F17" s="18" t="n">
        <f aca="false">IF((F$16*(1-Assumptions!$C$7)-Assumptions!$C$8)&lt;=0,0,(Assumptions!$C$10*($A17+('Cyclist Economics'!$B$10-'Cyclist Economics'!$B$5))+'Zone P&amp;L'!$C$31)/(Assumptions!$C$10*Assumptions!$C$41*(F$16*(1-Assumptions!$C$7)-Assumptions!$C$8)))</f>
        <v>3.55834641548927</v>
      </c>
      <c r="G17" s="18" t="n">
        <f aca="false">IF((G$16*(1-Assumptions!$C$7)-Assumptions!$C$8)&lt;=0,0,(Assumptions!$C$10*($A17+('Cyclist Economics'!$B$10-'Cyclist Economics'!$B$5))+'Zone P&amp;L'!$C$31)/(Assumptions!$C$10*Assumptions!$C$41*(G$16*(1-Assumptions!$C$7)-Assumptions!$C$8)))</f>
        <v>2.96025423359889</v>
      </c>
    </row>
    <row r="18" customFormat="false" ht="15" hidden="false" customHeight="false" outlineLevel="0" collapsed="false">
      <c r="A18" s="24" t="n">
        <v>60000</v>
      </c>
      <c r="B18" s="18" t="n">
        <f aca="false">IF((B$16*(1-Assumptions!$C$7)-Assumptions!$C$8)&lt;=0,0,(Assumptions!$C$10*($A18+('Cyclist Economics'!$B$10-'Cyclist Economics'!$B$5))+'Zone P&amp;L'!$C$31)/(Assumptions!$C$10*Assumptions!$C$41*(B$16*(1-Assumptions!$C$7)-Assumptions!$C$8)))</f>
        <v>6.95907973305234</v>
      </c>
      <c r="C18" s="18" t="n">
        <f aca="false">IF((C$16*(1-Assumptions!$C$7)-Assumptions!$C$8)&lt;=0,0,(Assumptions!$C$10*($A18+('Cyclist Economics'!$B$10-'Cyclist Economics'!$B$5))+'Zone P&amp;L'!$C$31)/(Assumptions!$C$10*Assumptions!$C$41*(C$16*(1-Assumptions!$C$7)-Assumptions!$C$8)))</f>
        <v>5.95036978638736</v>
      </c>
      <c r="D18" s="18" t="n">
        <f aca="false">IF((D$16*(1-Assumptions!$C$7)-Assumptions!$C$8)&lt;=0,0,(Assumptions!$C$10*($A18+('Cyclist Economics'!$B$10-'Cyclist Economics'!$B$5))+'Zone P&amp;L'!$C$31)/(Assumptions!$C$10*Assumptions!$C$41*(D$16*(1-Assumptions!$C$7)-Assumptions!$C$8)))</f>
        <v>5.19706210243295</v>
      </c>
      <c r="E18" s="18" t="n">
        <f aca="false">IF((E$16*(1-Assumptions!$C$7)-Assumptions!$C$8)&lt;=0,0,(Assumptions!$C$10*($A18+('Cyclist Economics'!$B$10-'Cyclist Economics'!$B$5))+'Zone P&amp;L'!$C$31)/(Assumptions!$C$10*Assumptions!$C$41*(E$16*(1-Assumptions!$C$7)-Assumptions!$C$8)))</f>
        <v>4.61305625891324</v>
      </c>
      <c r="F18" s="18" t="n">
        <f aca="false">IF((F$16*(1-Assumptions!$C$7)-Assumptions!$C$8)&lt;=0,0,(Assumptions!$C$10*($A18+('Cyclist Economics'!$B$10-'Cyclist Economics'!$B$5))+'Zone P&amp;L'!$C$31)/(Assumptions!$C$10*Assumptions!$C$41*(F$16*(1-Assumptions!$C$7)-Assumptions!$C$8)))</f>
        <v>4.14704343275772</v>
      </c>
      <c r="G18" s="18" t="n">
        <f aca="false">IF((G$16*(1-Assumptions!$C$7)-Assumptions!$C$8)&lt;=0,0,(Assumptions!$C$10*($A18+('Cyclist Economics'!$B$10-'Cyclist Economics'!$B$5))+'Zone P&amp;L'!$C$31)/(Assumptions!$C$10*Assumptions!$C$41*(G$16*(1-Assumptions!$C$7)-Assumptions!$C$8)))</f>
        <v>3.45000217665753</v>
      </c>
    </row>
    <row r="19" customFormat="false" ht="15" hidden="false" customHeight="false" outlineLevel="0" collapsed="false">
      <c r="A19" s="24" t="n">
        <v>75000</v>
      </c>
      <c r="B19" s="18" t="n">
        <f aca="false">IF((B$16*(1-Assumptions!$C$7)-Assumptions!$C$8)&lt;=0,0,(Assumptions!$C$10*($A19+('Cyclist Economics'!$B$10-'Cyclist Economics'!$B$5))+'Zone P&amp;L'!$C$31)/(Assumptions!$C$10*Assumptions!$C$41*(B$16*(1-Assumptions!$C$7)-Assumptions!$C$8)))</f>
        <v>7.946961714085</v>
      </c>
      <c r="C19" s="18" t="n">
        <f aca="false">IF((C$16*(1-Assumptions!$C$7)-Assumptions!$C$8)&lt;=0,0,(Assumptions!$C$10*($A19+('Cyclist Economics'!$B$10-'Cyclist Economics'!$B$5))+'Zone P&amp;L'!$C$31)/(Assumptions!$C$10*Assumptions!$C$41*(C$16*(1-Assumptions!$C$7)-Assumptions!$C$8)))</f>
        <v>6.79505950369786</v>
      </c>
      <c r="D19" s="18" t="n">
        <f aca="false">IF((D$16*(1-Assumptions!$C$7)-Assumptions!$C$8)&lt;=0,0,(Assumptions!$C$10*($A19+('Cyclist Economics'!$B$10-'Cyclist Economics'!$B$5))+'Zone P&amp;L'!$C$31)/(Assumptions!$C$10*Assumptions!$C$41*(D$16*(1-Assumptions!$C$7)-Assumptions!$C$8)))</f>
        <v>5.934815397731</v>
      </c>
      <c r="E19" s="18" t="n">
        <f aca="false">IF((E$16*(1-Assumptions!$C$7)-Assumptions!$C$8)&lt;=0,0,(Assumptions!$C$10*($A19+('Cyclist Economics'!$B$10-'Cyclist Economics'!$B$5))+'Zone P&amp;L'!$C$31)/(Assumptions!$C$10*Assumptions!$C$41*(E$16*(1-Assumptions!$C$7)-Assumptions!$C$8)))</f>
        <v>5.26790651648768</v>
      </c>
      <c r="F19" s="18" t="n">
        <f aca="false">IF((F$16*(1-Assumptions!$C$7)-Assumptions!$C$8)&lt;=0,0,(Assumptions!$C$10*($A19+('Cyclist Economics'!$B$10-'Cyclist Economics'!$B$5))+'Zone P&amp;L'!$C$31)/(Assumptions!$C$10*Assumptions!$C$41*(F$16*(1-Assumptions!$C$7)-Assumptions!$C$8)))</f>
        <v>4.73574045002617</v>
      </c>
      <c r="G19" s="18" t="n">
        <f aca="false">IF((G$16*(1-Assumptions!$C$7)-Assumptions!$C$8)&lt;=0,0,(Assumptions!$C$10*($A19+('Cyclist Economics'!$B$10-'Cyclist Economics'!$B$5))+'Zone P&amp;L'!$C$31)/(Assumptions!$C$10*Assumptions!$C$41*(G$16*(1-Assumptions!$C$7)-Assumptions!$C$8)))</f>
        <v>3.93975011971616</v>
      </c>
    </row>
    <row r="20" customFormat="false" ht="15" hidden="false" customHeight="false" outlineLevel="0" collapsed="false">
      <c r="A20" s="24" t="n">
        <v>90000</v>
      </c>
      <c r="B20" s="18" t="n">
        <f aca="false">IF((B$16*(1-Assumptions!$C$7)-Assumptions!$C$8)&lt;=0,0,(Assumptions!$C$10*($A20+('Cyclist Economics'!$B$10-'Cyclist Economics'!$B$5))+'Zone P&amp;L'!$C$31)/(Assumptions!$C$10*Assumptions!$C$41*(B$16*(1-Assumptions!$C$7)-Assumptions!$C$8)))</f>
        <v>8.93484369511767</v>
      </c>
      <c r="C20" s="18" t="n">
        <f aca="false">IF((C$16*(1-Assumptions!$C$7)-Assumptions!$C$8)&lt;=0,0,(Assumptions!$C$10*($A20+('Cyclist Economics'!$B$10-'Cyclist Economics'!$B$5))+'Zone P&amp;L'!$C$31)/(Assumptions!$C$10*Assumptions!$C$41*(C$16*(1-Assumptions!$C$7)-Assumptions!$C$8)))</f>
        <v>7.63974922100837</v>
      </c>
      <c r="D20" s="18" t="n">
        <f aca="false">IF((D$16*(1-Assumptions!$C$7)-Assumptions!$C$8)&lt;=0,0,(Assumptions!$C$10*($A20+('Cyclist Economics'!$B$10-'Cyclist Economics'!$B$5))+'Zone P&amp;L'!$C$31)/(Assumptions!$C$10*Assumptions!$C$41*(D$16*(1-Assumptions!$C$7)-Assumptions!$C$8)))</f>
        <v>6.67256869302905</v>
      </c>
      <c r="E20" s="18" t="n">
        <f aca="false">IF((E$16*(1-Assumptions!$C$7)-Assumptions!$C$8)&lt;=0,0,(Assumptions!$C$10*($A20+('Cyclist Economics'!$B$10-'Cyclist Economics'!$B$5))+'Zone P&amp;L'!$C$31)/(Assumptions!$C$10*Assumptions!$C$41*(E$16*(1-Assumptions!$C$7)-Assumptions!$C$8)))</f>
        <v>5.92275677406211</v>
      </c>
      <c r="F20" s="18" t="n">
        <f aca="false">IF((F$16*(1-Assumptions!$C$7)-Assumptions!$C$8)&lt;=0,0,(Assumptions!$C$10*($A20+('Cyclist Economics'!$B$10-'Cyclist Economics'!$B$5))+'Zone P&amp;L'!$C$31)/(Assumptions!$C$10*Assumptions!$C$41*(F$16*(1-Assumptions!$C$7)-Assumptions!$C$8)))</f>
        <v>5.32443746729461</v>
      </c>
      <c r="G20" s="18" t="n">
        <f aca="false">IF((G$16*(1-Assumptions!$C$7)-Assumptions!$C$8)&lt;=0,0,(Assumptions!$C$10*($A20+('Cyclist Economics'!$B$10-'Cyclist Economics'!$B$5))+'Zone P&amp;L'!$C$31)/(Assumptions!$C$10*Assumptions!$C$41*(G$16*(1-Assumptions!$C$7)-Assumptions!$C$8)))</f>
        <v>4.4294980627748</v>
      </c>
    </row>
  </sheetData>
  <mergeCells count="1"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4" customFormat="false" ht="23.85" hidden="false" customHeight="false" outlineLevel="0" collapsed="false">
      <c r="A4" s="27" t="s">
        <v>205</v>
      </c>
      <c r="B4" s="27" t="s">
        <v>206</v>
      </c>
      <c r="C4" s="27" t="s">
        <v>207</v>
      </c>
      <c r="D4" s="27" t="s">
        <v>208</v>
      </c>
      <c r="E4" s="27" t="s">
        <v>209</v>
      </c>
      <c r="F4" s="27" t="s">
        <v>210</v>
      </c>
      <c r="G4" s="27" t="s">
        <v>211</v>
      </c>
      <c r="H4" s="27" t="s">
        <v>212</v>
      </c>
    </row>
    <row r="5" customFormat="false" ht="15" hidden="false" customHeight="false" outlineLevel="0" collapsed="false">
      <c r="A5" s="2" t="s">
        <v>213</v>
      </c>
      <c r="B5" s="28" t="n">
        <v>3000</v>
      </c>
    </row>
    <row r="7" customFormat="false" ht="15" hidden="false" customHeight="false" outlineLevel="0" collapsed="false">
      <c r="A7" s="7" t="s">
        <v>214</v>
      </c>
      <c r="B7" s="11" t="n">
        <v>1500</v>
      </c>
      <c r="C7" s="11" t="n">
        <v>2000</v>
      </c>
      <c r="D7" s="10" t="n">
        <v>0</v>
      </c>
      <c r="E7" s="16" t="n">
        <f aca="false">D7*$B$5</f>
        <v>0</v>
      </c>
      <c r="F7" s="16" t="n">
        <f aca="false">B7+E7</f>
        <v>1500</v>
      </c>
      <c r="G7" s="16" t="n">
        <f aca="false">C7+E7</f>
        <v>2000</v>
      </c>
      <c r="H7" s="9" t="s">
        <v>215</v>
      </c>
    </row>
    <row r="8" customFormat="false" ht="23.85" hidden="false" customHeight="false" outlineLevel="0" collapsed="false">
      <c r="A8" s="7" t="s">
        <v>216</v>
      </c>
      <c r="B8" s="11" t="n">
        <v>1150</v>
      </c>
      <c r="C8" s="11" t="n">
        <v>1600</v>
      </c>
      <c r="D8" s="10" t="n">
        <v>0</v>
      </c>
      <c r="E8" s="16" t="n">
        <f aca="false">D8*$B$5</f>
        <v>0</v>
      </c>
      <c r="F8" s="16" t="n">
        <f aca="false">B8+E8</f>
        <v>1150</v>
      </c>
      <c r="G8" s="16" t="n">
        <f aca="false">C8+E8</f>
        <v>1600</v>
      </c>
      <c r="H8" s="9" t="s">
        <v>217</v>
      </c>
    </row>
    <row r="9" customFormat="false" ht="15" hidden="false" customHeight="false" outlineLevel="0" collapsed="false">
      <c r="A9" s="7" t="s">
        <v>218</v>
      </c>
      <c r="B9" s="11" t="n">
        <v>950</v>
      </c>
      <c r="C9" s="11" t="n">
        <v>1200</v>
      </c>
      <c r="D9" s="10" t="n">
        <v>0.25</v>
      </c>
      <c r="E9" s="16" t="n">
        <f aca="false">D9*$B$5</f>
        <v>750</v>
      </c>
      <c r="F9" s="16" t="n">
        <f aca="false">B9+E9</f>
        <v>1700</v>
      </c>
      <c r="G9" s="16" t="n">
        <f aca="false">C9+E9</f>
        <v>1950</v>
      </c>
      <c r="H9" s="9" t="s">
        <v>219</v>
      </c>
    </row>
    <row r="10" customFormat="false" ht="15" hidden="false" customHeight="false" outlineLevel="0" collapsed="false">
      <c r="A10" s="7" t="s">
        <v>220</v>
      </c>
      <c r="B10" s="11" t="n">
        <v>900</v>
      </c>
      <c r="C10" s="11" t="n">
        <v>1200</v>
      </c>
      <c r="D10" s="10" t="n">
        <v>0.03</v>
      </c>
      <c r="E10" s="16" t="n">
        <f aca="false">D10*$B$5</f>
        <v>90</v>
      </c>
      <c r="F10" s="16" t="n">
        <f aca="false">B10+E10</f>
        <v>990</v>
      </c>
      <c r="G10" s="16" t="n">
        <f aca="false">C10+E10</f>
        <v>1290</v>
      </c>
      <c r="H10" s="9" t="s">
        <v>221</v>
      </c>
    </row>
    <row r="11" customFormat="false" ht="15" hidden="false" customHeight="false" outlineLevel="0" collapsed="false">
      <c r="A11" s="7" t="s">
        <v>222</v>
      </c>
      <c r="B11" s="11" t="n">
        <v>1000</v>
      </c>
      <c r="C11" s="11" t="n">
        <v>1300</v>
      </c>
      <c r="D11" s="10" t="n">
        <v>0</v>
      </c>
      <c r="E11" s="16" t="n">
        <f aca="false">D11*$B$5</f>
        <v>0</v>
      </c>
      <c r="F11" s="16" t="n">
        <f aca="false">B11+E11</f>
        <v>1000</v>
      </c>
      <c r="G11" s="16" t="n">
        <f aca="false">C11+E11</f>
        <v>1300</v>
      </c>
      <c r="H11" s="9" t="s">
        <v>223</v>
      </c>
    </row>
    <row r="12" customFormat="false" ht="15" hidden="false" customHeight="false" outlineLevel="0" collapsed="false">
      <c r="A12" s="7" t="s">
        <v>224</v>
      </c>
      <c r="B12" s="15" t="n">
        <f aca="false">Assumptions!$C$6</f>
        <v>900</v>
      </c>
      <c r="C12" s="15" t="n">
        <f aca="false">Assumptions!$C$6</f>
        <v>900</v>
      </c>
      <c r="D12" s="10" t="n">
        <v>0</v>
      </c>
      <c r="E12" s="16" t="n">
        <f aca="false">D12*$B$5</f>
        <v>0</v>
      </c>
      <c r="F12" s="16" t="n">
        <f aca="false">B12+E12</f>
        <v>900</v>
      </c>
      <c r="G12" s="16" t="n">
        <f aca="false">C12+E12</f>
        <v>900</v>
      </c>
      <c r="H12" s="9" t="s">
        <v>225</v>
      </c>
    </row>
    <row r="14" customFormat="false" ht="15" hidden="false" customHeight="false" outlineLevel="0" collapsed="false">
      <c r="A14" s="6" t="s">
        <v>226</v>
      </c>
      <c r="C14" s="3" t="s">
        <v>227</v>
      </c>
    </row>
    <row r="15" customFormat="false" ht="15" hidden="false" customHeight="false" outlineLevel="0" collapsed="false">
      <c r="A15" s="7" t="s">
        <v>228</v>
      </c>
      <c r="B15" s="16" t="n">
        <f aca="false">G7-$G$12</f>
        <v>1100</v>
      </c>
      <c r="C15" s="20" t="n">
        <f aca="false">IF(G7=0,0,B15/G7)</f>
        <v>0.55</v>
      </c>
    </row>
    <row r="16" customFormat="false" ht="15" hidden="false" customHeight="false" outlineLevel="0" collapsed="false">
      <c r="A16" s="7" t="s">
        <v>229</v>
      </c>
      <c r="B16" s="16" t="n">
        <f aca="false">G8-$G$12</f>
        <v>700</v>
      </c>
      <c r="C16" s="20" t="n">
        <f aca="false">IF(G8=0,0,B16/G8)</f>
        <v>0.4375</v>
      </c>
    </row>
    <row r="17" customFormat="false" ht="15" hidden="false" customHeight="false" outlineLevel="0" collapsed="false">
      <c r="A17" s="7" t="s">
        <v>230</v>
      </c>
      <c r="B17" s="16" t="n">
        <f aca="false">G9-$G$12</f>
        <v>1050</v>
      </c>
      <c r="C17" s="20" t="n">
        <f aca="false">IF(G9=0,0,B17/G9)</f>
        <v>0.538461538461538</v>
      </c>
    </row>
    <row r="18" customFormat="false" ht="15" hidden="false" customHeight="false" outlineLevel="0" collapsed="false">
      <c r="A18" s="7" t="s">
        <v>231</v>
      </c>
      <c r="B18" s="16" t="n">
        <f aca="false">G10-$G$12</f>
        <v>390</v>
      </c>
      <c r="C18" s="20" t="n">
        <f aca="false">IF(G10=0,0,B18/G10)</f>
        <v>0.302325581395349</v>
      </c>
    </row>
    <row r="19" customFormat="false" ht="15" hidden="false" customHeight="false" outlineLevel="0" collapsed="false">
      <c r="A19" s="7" t="s">
        <v>232</v>
      </c>
      <c r="B19" s="16" t="n">
        <f aca="false">G11-$G$12</f>
        <v>400</v>
      </c>
      <c r="C19" s="20" t="n">
        <f aca="false">IF(G11=0,0,B19/G11)</f>
        <v>0.307692307692308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2026-10-05T22:52:47Z</dcterms:created>
  <dc:creator>openpyxl</dc:creator>
  <dc:description/>
  <dc:language>en-US</dc:language>
  <cp:lastModifiedBy/>
  <dcterms:modified xsi:type="dcterms:W3CDTF">2026-10-05T22:52:47Z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